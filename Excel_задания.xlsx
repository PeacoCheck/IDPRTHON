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.1 Продажи авто" sheetId="2" state="visible" r:id="rId2"/>
    <sheet xmlns:r="http://schemas.openxmlformats.org/officeDocument/2006/relationships" name="1.2 Сортировка" sheetId="3" state="visible" r:id="rId3"/>
    <sheet xmlns:r="http://schemas.openxmlformats.org/officeDocument/2006/relationships" name="2.1 Три диаграммы" sheetId="4" state="visible" r:id="rId4"/>
    <sheet xmlns:r="http://schemas.openxmlformats.org/officeDocument/2006/relationships" name="2.2 Выпускники вузов" sheetId="5" state="visible" r:id="rId5"/>
    <sheet xmlns:r="http://schemas.openxmlformats.org/officeDocument/2006/relationships" name="3.1 Поступление" sheetId="6" state="visible" r:id="rId6"/>
    <sheet xmlns:r="http://schemas.openxmlformats.org/officeDocument/2006/relationships" name="3.2 Список группы" sheetId="7" state="visible" r:id="rId7"/>
    <sheet xmlns:r="http://schemas.openxmlformats.org/officeDocument/2006/relationships" name="3.3 План поставки" sheetId="8" state="visible" r:id="rId8"/>
    <sheet xmlns:r="http://schemas.openxmlformats.org/officeDocument/2006/relationships" name="4.1 Цены на проезд" sheetId="9" state="visible" r:id="rId9"/>
    <sheet xmlns:r="http://schemas.openxmlformats.org/officeDocument/2006/relationships" name="4.2 Абитуриенты" sheetId="10" state="visible" r:id="rId10"/>
    <sheet xmlns:r="http://schemas.openxmlformats.org/officeDocument/2006/relationships" name="5.1 Консолидация" sheetId="11" state="visible" r:id="rId11"/>
    <sheet xmlns:r="http://schemas.openxmlformats.org/officeDocument/2006/relationships" name="5.2 Список студентов" sheetId="12" state="visible" r:id="rId12"/>
    <sheet xmlns:r="http://schemas.openxmlformats.org/officeDocument/2006/relationships" name="5.2 Свод по группам" sheetId="13" state="visible" r:id="rId13"/>
    <sheet xmlns:r="http://schemas.openxmlformats.org/officeDocument/2006/relationships" name="6.1 Футбол ВПР" sheetId="14" state="visible" r:id="rId14"/>
    <sheet xmlns:r="http://schemas.openxmlformats.org/officeDocument/2006/relationships" name="6.2 Продажи ПК" sheetId="15" state="visible" r:id="rId15"/>
    <sheet xmlns:r="http://schemas.openxmlformats.org/officeDocument/2006/relationships" name="7.1 Шаблон счёта" sheetId="16" state="visible" r:id="rId16"/>
    <sheet xmlns:r="http://schemas.openxmlformats.org/officeDocument/2006/relationships" name="7.2 Счёт-фактура" sheetId="17" state="visible" r:id="rId17"/>
    <sheet xmlns:r="http://schemas.openxmlformats.org/officeDocument/2006/relationships" name="8.1 Коттеджи" sheetId="18" state="visible" r:id="rId18"/>
    <sheet xmlns:r="http://schemas.openxmlformats.org/officeDocument/2006/relationships" name="8.2 Что-если" sheetId="19" state="visible" r:id="rId19"/>
    <sheet xmlns:r="http://schemas.openxmlformats.org/officeDocument/2006/relationships" name="8.3 Сценарии" sheetId="20" state="visible" r:id="rId20"/>
    <sheet xmlns:r="http://schemas.openxmlformats.org/officeDocument/2006/relationships" name="8.4 Поиск решения" sheetId="21" state="visible" r:id="rId21"/>
    <sheet xmlns:r="http://schemas.openxmlformats.org/officeDocument/2006/relationships" name="9.1 Абоненты" sheetId="22" state="visible" r:id="rId22"/>
    <sheet xmlns:r="http://schemas.openxmlformats.org/officeDocument/2006/relationships" name="9.1 Тарифы" sheetId="23" state="visible" r:id="rId23"/>
    <sheet xmlns:r="http://schemas.openxmlformats.org/officeDocument/2006/relationships" name="9.1 Трафик" sheetId="24" state="visible" r:id="rId24"/>
    <sheet xmlns:r="http://schemas.openxmlformats.org/officeDocument/2006/relationships" name="9.2 Сводная" sheetId="25" state="visible" r:id="rId25"/>
  </sheets>
  <definedNames>
    <definedName name="_xlnm._FilterDatabase" localSheetId="6" hidden="1">'3.2 Список группы'!$A$1:$E$11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0&quot;г.&quot;"/>
    <numFmt numFmtId="166" formatCode="0;-0;&quot;-&quot;"/>
    <numFmt numFmtId="167" formatCode="0.000"/>
    <numFmt numFmtId="168" formatCode="#,##0.00;-#,##0.00;&quot;-&quot;"/>
    <numFmt numFmtId="169" formatCode="$#,##0.00"/>
    <numFmt numFmtId="170" formatCode="#,##0.00&quot; р.&quot;"/>
    <numFmt numFmtId="171" formatCode="0.00&quot; р.&quot;"/>
    <numFmt numFmtId="172" formatCode="yyyy-mm-dd"/>
    <numFmt numFmtId="173" formatCode="dd.mm.yyyy"/>
    <numFmt numFmtId="174" formatCode="#,##0.0"/>
  </numFmts>
  <fonts count="9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666666"/>
    </font>
    <font>
      <b val="1"/>
      <sz val="14"/>
    </font>
    <font>
      <i val="1"/>
    </font>
    <font>
      <sz val="9"/>
    </font>
    <font>
      <color rgb="00FFFFFF"/>
    </font>
    <font>
      <b val="1"/>
      <sz val="13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FFFFFF"/>
      </patternFill>
    </fill>
    <fill>
      <patternFill patternType="solid">
        <fgColor rgb="0000FF00"/>
      </patternFill>
    </fill>
    <fill>
      <patternFill patternType="solid">
        <fgColor rgb="0000B0F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92CDDC"/>
      </patternFill>
    </fill>
    <fill>
      <patternFill patternType="solid">
        <fgColor rgb="007030A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1" pivotButton="0" quotePrefix="0" xfId="0"/>
    <xf numFmtId="3" fontId="1" fillId="0" borderId="1" pivotButton="0" quotePrefix="0" xfId="0"/>
    <xf numFmtId="0" fontId="0" fillId="0" borderId="1" applyAlignment="1" pivotButton="0" quotePrefix="0" xfId="0">
      <alignment wrapText="1"/>
    </xf>
    <xf numFmtId="9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1" fillId="2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center" vertical="center" wrapText="1"/>
    </xf>
    <xf numFmtId="167" fontId="0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68" fontId="0" fillId="0" borderId="1" pivotButton="0" quotePrefix="0" xfId="0"/>
    <xf numFmtId="168" fontId="1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0" fontId="1" fillId="0" borderId="1" pivotButton="0" quotePrefix="0" xfId="0"/>
    <xf numFmtId="0" fontId="1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5" fillId="10" borderId="1" pivotButton="0" quotePrefix="0" xfId="0"/>
    <xf numFmtId="173" fontId="7" fillId="11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" fillId="0" borderId="0" applyAlignment="1" pivotButton="0" quotePrefix="0" xfId="0">
      <alignment wrapText="1"/>
    </xf>
    <xf numFmtId="0" fontId="1" fillId="2" borderId="1" pivotButton="0" quotePrefix="0" xfId="0"/>
    <xf numFmtId="173" fontId="1" fillId="2" borderId="1" pivotButton="0" quotePrefix="0" xfId="0"/>
    <xf numFmtId="0" fontId="0" fillId="12" borderId="0" applyAlignment="1" pivotButton="0" quotePrefix="0" xfId="0">
      <alignment wrapText="1"/>
    </xf>
    <xf numFmtId="174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автомобилей в России за январь 2012 г.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'1.1 Продажи авто'!B3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'1.1 Продажи авто'!$A$4:$A$10</f>
            </numRef>
          </cat>
          <val>
            <numRef>
              <f>'1.1 Продажи авто'!$B$4:$B$10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автомобилей (по убыванию)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'1.2 Сортировка'!B3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'1.2 Сортировка'!$A$4:$A$10</f>
            </numRef>
          </cat>
          <val>
            <numRef>
              <f>'1.2 Сортировка'!$B$4:$B$10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Выпуск по направлениям подготовки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'2.1 Три диаграммы'!B2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диаграммы'!$A$3:$A$12</f>
            </numRef>
          </cat>
          <val>
            <numRef>
              <f>'2.1 Три диаграммы'!$B$3:$B$12</f>
            </numRef>
          </val>
        </ser>
        <ser>
          <idx val="1"/>
          <order val="1"/>
          <tx>
            <strRef>
              <f>'2.1 Три диаграммы'!C2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диаграммы'!$A$3:$A$12</f>
            </numRef>
          </cat>
          <val>
            <numRef>
              <f>'2.1 Три диаграммы'!$C$3:$C$12</f>
            </numRef>
          </val>
        </ser>
        <ser>
          <idx val="2"/>
          <order val="2"/>
          <tx>
            <strRef>
              <f>'2.1 Три диаграммы'!D2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диаграммы'!$A$3:$A$12</f>
            </numRef>
          </cat>
          <val>
            <numRef>
              <f>'2.1 Три диаграммы'!$D$3:$D$12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Страны</a:t>
            </a:r>
          </a:p>
        </rich>
      </tx>
    </title>
    <plotArea>
      <pieChart>
        <varyColors val="1"/>
        <ser>
          <idx val="0"/>
          <order val="0"/>
          <tx>
            <strRef>
              <f>'2.1 Три диаграммы'!B16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диаграммы'!$A$17:$A$20</f>
            </numRef>
          </cat>
          <val>
            <numRef>
              <f>'2.1 Три диаграммы'!$B$17:$B$20</f>
            </numRef>
          </val>
        </ser>
        <dLbls>
          <showLegendKey val="0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Объем продаж в спортивном магазине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'2.1 Три диаграммы'!B24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диаграммы'!$A$25:$A$28</f>
            </numRef>
          </cat>
          <val>
            <numRef>
              <f>'2.1 Три диаграммы'!$B$25:$B$28</f>
            </numRef>
          </val>
        </ser>
        <ser>
          <idx val="1"/>
          <order val="1"/>
          <tx>
            <strRef>
              <f>'2.1 Три диаграммы'!C24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диаграммы'!$A$25:$A$28</f>
            </numRef>
          </cat>
          <val>
            <numRef>
              <f>'2.1 Три диаграммы'!$C$25:$C$28</f>
            </numRef>
          </val>
        </ser>
        <ser>
          <idx val="2"/>
          <order val="2"/>
          <tx>
            <strRef>
              <f>'2.1 Три диаграммы'!D24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диаграммы'!$A$25:$A$28</f>
            </numRef>
          </cat>
          <val>
            <numRef>
              <f>'2.1 Три диаграммы'!$D$25:$D$28</f>
            </numRef>
          </val>
        </ser>
        <ser>
          <idx val="3"/>
          <order val="3"/>
          <tx>
            <strRef>
              <f>'2.1 Три диаграммы'!E24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'2.1 Три диаграммы'!$A$25:$A$28</f>
            </numRef>
          </cat>
          <val>
            <numRef>
              <f>'2.1 Три диаграммы'!$E$25:$E$28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Выпускники вузов за 1900-1913 по специальностям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'2.2 Выпускники вузов'!B2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'2.2 Выпускники вузов'!$A$3:$A$16</f>
            </numRef>
          </cat>
          <val>
            <numRef>
              <f>'2.2 Выпускники вузов'!$B$3:$B$16</f>
            </numRef>
          </val>
        </ser>
        <ser>
          <idx val="1"/>
          <order val="1"/>
          <tx>
            <strRef>
              <f>'2.2 Выпускники вузов'!C2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'2.2 Выпускники вузов'!$A$3:$A$16</f>
            </numRef>
          </cat>
          <val>
            <numRef>
              <f>'2.2 Выпускники вузов'!$C$3:$C$16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Поставки по месяцам, шт.</a:t>
            </a:r>
          </a:p>
        </rich>
      </tx>
    </title>
    <plotArea>
      <barChart>
        <barDir val="col"/>
        <grouping val="clustered"/>
        <ser>
          <idx val="0"/>
          <order val="0"/>
          <tx>
            <v>Трубзавод1</v>
          </tx>
          <spPr>
            <a:ln xmlns:a="http://schemas.openxmlformats.org/drawingml/2006/main">
              <a:prstDash val="solid"/>
            </a:ln>
          </spPr>
          <cat>
            <numRef>
              <f>'3.3 План поставки'!$E$4:$P$4</f>
            </numRef>
          </cat>
          <val>
            <numRef>
              <f>'3.3 План поставки'!$E$5:$P$5</f>
            </numRef>
          </val>
        </ser>
        <ser>
          <idx val="1"/>
          <order val="1"/>
          <tx>
            <v>Трубзавод 2</v>
          </tx>
          <spPr>
            <a:ln xmlns:a="http://schemas.openxmlformats.org/drawingml/2006/main">
              <a:prstDash val="solid"/>
            </a:ln>
          </spPr>
          <cat>
            <numRef>
              <f>'3.3 План поставки'!$E$4:$P$4</f>
            </numRef>
          </cat>
          <val>
            <numRef>
              <f>'3.3 План поставки'!$E$6:$P$6</f>
            </numRef>
          </val>
        </ser>
        <ser>
          <idx val="2"/>
          <order val="2"/>
          <tx>
            <v>Трубзавод 3</v>
          </tx>
          <spPr>
            <a:ln xmlns:a="http://schemas.openxmlformats.org/drawingml/2006/main">
              <a:prstDash val="solid"/>
            </a:ln>
          </spPr>
          <cat>
            <numRef>
              <f>'3.3 План поставки'!$E$4:$P$4</f>
            </numRef>
          </cat>
          <val>
            <numRef>
              <f>'3.3 План поставки'!$E$7:$P$7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Студенты по годам рождения и группам</a:t>
            </a:r>
          </a:p>
        </rich>
      </tx>
    </title>
    <plotArea>
      <barChart>
        <barDir val="bar"/>
        <grouping val="clustered"/>
        <ser>
          <idx val="0"/>
          <order val="0"/>
          <tx>
            <v>903</v>
          </tx>
          <spPr>
            <a:ln xmlns:a="http://schemas.openxmlformats.org/drawingml/2006/main">
              <a:prstDash val="solid"/>
            </a:ln>
          </spPr>
          <cat>
            <numRef>
              <f>'5.2 Свод по группам'!$B$1:$F$1</f>
            </numRef>
          </cat>
          <val>
            <numRef>
              <f>'5.2 Свод по группам'!$B$2:$F$2</f>
            </numRef>
          </val>
        </ser>
        <ser>
          <idx val="1"/>
          <order val="1"/>
          <tx>
            <v>904</v>
          </tx>
          <spPr>
            <a:ln xmlns:a="http://schemas.openxmlformats.org/drawingml/2006/main">
              <a:prstDash val="solid"/>
            </a:ln>
          </spPr>
          <cat>
            <numRef>
              <f>'5.2 Свод по группам'!$B$1:$F$1</f>
            </numRef>
          </cat>
          <val>
            <numRef>
              <f>'5.2 Свод по группам'!$B$3:$F$3</f>
            </numRef>
          </val>
        </ser>
        <ser>
          <idx val="2"/>
          <order val="2"/>
          <tx>
            <v>905</v>
          </tx>
          <spPr>
            <a:ln xmlns:a="http://schemas.openxmlformats.org/drawingml/2006/main">
              <a:prstDash val="solid"/>
            </a:ln>
          </spPr>
          <cat>
            <numRef>
              <f>'5.2 Свод по группам'!$B$1:$F$1</f>
            </numRef>
          </cat>
          <val>
            <numRef>
              <f>'5.2 Свод по группам'!$B$4:$F$4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компьютерной техники</a:t>
            </a:r>
          </a:p>
        </rich>
      </tx>
    </title>
    <plotArea>
      <lineChart>
        <grouping val="standard"/>
        <ser>
          <idx val="0"/>
          <order val="0"/>
          <tx>
            <strRef>
              <f>'6.2 Продажи ПК'!B1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cat>
            <numRef>
              <f>'6.2 Продажи ПК'!$A$2:$A$7</f>
            </numRef>
          </cat>
          <val>
            <numRef>
              <f>'6.2 Продажи ПК'!$B$2:$B$7</f>
            </numRef>
          </val>
          <smooth val="0"/>
        </ser>
        <ser>
          <idx val="1"/>
          <order val="1"/>
          <tx>
            <strRef>
              <f>'6.2 Продажи ПК'!C1</f>
            </strRef>
          </tx>
          <spPr>
            <a:ln xmlns:a="http://schemas.openxmlformats.org/drawingml/2006/main">
              <a:prstDash val="solid"/>
            </a:ln>
          </spPr>
          <marker>
            <symbol val="triangle"/>
            <size val="9"/>
            <spPr>
              <a:ln xmlns:a="http://schemas.openxmlformats.org/drawingml/2006/main">
                <a:prstDash val="solid"/>
              </a:ln>
            </spPr>
          </marker>
          <cat>
            <numRef>
              <f>'6.2 Продажи ПК'!$A$2:$A$7</f>
            </numRef>
          </cat>
          <val>
            <numRef>
              <f>'6.2 Продажи ПК'!$C$2:$C$7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студент</author>
  </authors>
  <commentList>
    <comment ref="C3" authorId="0" shapeId="0">
      <text>
        <t>стоимость одного кв м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18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Задания для самостоятельной работы: Excel 2010 в примерах (уроки 1–9)</t>
        </is>
      </c>
    </row>
    <row r="3">
      <c r="A3" t="inlineStr">
        <is>
          <t>1.1</t>
        </is>
      </c>
      <c r="B3" t="inlineStr">
        <is>
          <t>Продажи автомобилей + диаграмма</t>
        </is>
      </c>
    </row>
    <row r="4">
      <c r="A4" t="inlineStr">
        <is>
          <t>1.2</t>
        </is>
      </c>
      <c r="B4" t="inlineStr">
        <is>
          <t>Сортировка по убыванию</t>
        </is>
      </c>
    </row>
    <row r="5">
      <c r="A5" t="inlineStr">
        <is>
          <t>2.1</t>
        </is>
      </c>
      <c r="B5" t="inlineStr">
        <is>
          <t>Три диаграммы</t>
        </is>
      </c>
    </row>
    <row r="6">
      <c r="A6" t="inlineStr">
        <is>
          <t>2.2</t>
        </is>
      </c>
      <c r="B6" t="inlineStr">
        <is>
          <t>Таблица выпускников + диаграмма</t>
        </is>
      </c>
    </row>
    <row r="7">
      <c r="A7" t="inlineStr">
        <is>
          <t>3.1</t>
        </is>
      </c>
      <c r="B7" t="inlineStr">
        <is>
          <t>Поступление, сортировка по баллу</t>
        </is>
      </c>
    </row>
    <row r="8">
      <c r="A8" t="inlineStr">
        <is>
          <t>3.2</t>
        </is>
      </c>
      <c r="B8" t="inlineStr">
        <is>
          <t>Список группы, фильтр иногородних</t>
        </is>
      </c>
    </row>
    <row r="9">
      <c r="A9" t="inlineStr">
        <is>
          <t>3.3</t>
        </is>
      </c>
      <c r="B9" t="inlineStr">
        <is>
          <t>План поставки + диаграмма</t>
        </is>
      </c>
    </row>
    <row r="10">
      <c r="A10" t="inlineStr">
        <is>
          <t>4.1</t>
        </is>
      </c>
      <c r="B10" t="inlineStr">
        <is>
          <t>Цены на проезд, МИН / МАКС / СРЗНАЧ</t>
        </is>
      </c>
    </row>
    <row r="11">
      <c r="A11" t="inlineStr">
        <is>
          <t>4.2</t>
        </is>
      </c>
      <c r="B11" t="inlineStr">
        <is>
          <t>Абитуриенты, функция ЕСЛИ</t>
        </is>
      </c>
    </row>
    <row r="12">
      <c r="A12" t="inlineStr">
        <is>
          <t>5.1</t>
        </is>
      </c>
      <c r="B12" t="inlineStr">
        <is>
          <t>Консолидация данных</t>
        </is>
      </c>
    </row>
    <row r="13">
      <c r="A13" t="inlineStr">
        <is>
          <t>5.2</t>
        </is>
      </c>
      <c r="B13" t="inlineStr">
        <is>
          <t>Список студентов и свод по группам</t>
        </is>
      </c>
    </row>
    <row r="14">
      <c r="A14" t="inlineStr">
        <is>
          <t>6.1</t>
        </is>
      </c>
      <c r="B14" t="inlineStr">
        <is>
          <t>Футбольная лига, ВПР</t>
        </is>
      </c>
    </row>
    <row r="15">
      <c r="A15" t="inlineStr">
        <is>
          <t>6.2</t>
        </is>
      </c>
      <c r="B15" t="inlineStr">
        <is>
          <t>Продажи ПК, график</t>
        </is>
      </c>
    </row>
    <row r="16">
      <c r="A16" t="inlineStr">
        <is>
          <t>7.1</t>
        </is>
      </c>
      <c r="B16" t="inlineStr">
        <is>
          <t>Шаблон счёта-фактуры</t>
        </is>
      </c>
    </row>
    <row r="17">
      <c r="A17" t="inlineStr">
        <is>
          <t>7.2</t>
        </is>
      </c>
      <c r="B17" t="inlineStr">
        <is>
          <t>Счёт-фактура (защищён паролем 123)</t>
        </is>
      </c>
    </row>
    <row r="18">
      <c r="A18" t="inlineStr">
        <is>
          <t>8.1</t>
        </is>
      </c>
      <c r="B18" t="inlineStr">
        <is>
          <t>Таблица подстановки (коттеджи)</t>
        </is>
      </c>
    </row>
    <row r="19">
      <c r="A19" t="inlineStr">
        <is>
          <t>8.2</t>
        </is>
      </c>
      <c r="B19" t="inlineStr">
        <is>
          <t>Анализ «что-если»</t>
        </is>
      </c>
    </row>
    <row r="20">
      <c r="A20" t="inlineStr">
        <is>
          <t>8.3</t>
        </is>
      </c>
      <c r="B20" t="inlineStr">
        <is>
          <t>Сценарии</t>
        </is>
      </c>
    </row>
    <row r="21">
      <c r="A21" t="inlineStr">
        <is>
          <t>8.4</t>
        </is>
      </c>
      <c r="B21" t="inlineStr">
        <is>
          <t>Поиск решения</t>
        </is>
      </c>
    </row>
    <row r="22">
      <c r="A22" t="inlineStr">
        <is>
          <t>9.1</t>
        </is>
      </c>
      <c r="B22" t="inlineStr">
        <is>
          <t>База данных: абоненты, тарифы, трафик</t>
        </is>
      </c>
    </row>
    <row r="23">
      <c r="A23" t="inlineStr">
        <is>
          <t>9.2</t>
        </is>
      </c>
      <c r="B23" t="inlineStr">
        <is>
          <t>Сводная таблица расходов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Продажи автомобилей в России за январь 2012 г.</t>
        </is>
      </c>
    </row>
    <row r="3">
      <c r="A3" s="3" t="inlineStr">
        <is>
          <t>Марка</t>
        </is>
      </c>
      <c r="B3" s="3" t="inlineStr">
        <is>
          <t>Кол-во проданных автомобилей</t>
        </is>
      </c>
    </row>
    <row r="4">
      <c r="A4" s="4" t="inlineStr">
        <is>
          <t>LADA</t>
        </is>
      </c>
      <c r="B4" s="5" t="n">
        <v>29034</v>
      </c>
    </row>
    <row r="5">
      <c r="A5" s="4" t="inlineStr">
        <is>
          <t>KIA</t>
        </is>
      </c>
      <c r="B5" s="5" t="n">
        <v>11009</v>
      </c>
    </row>
    <row r="6">
      <c r="A6" s="4" t="inlineStr">
        <is>
          <t>RENAULT</t>
        </is>
      </c>
      <c r="B6" s="5" t="n">
        <v>10909</v>
      </c>
    </row>
    <row r="7">
      <c r="A7" s="4" t="inlineStr">
        <is>
          <t>NISSAN</t>
        </is>
      </c>
      <c r="B7" s="5" t="n">
        <v>10780</v>
      </c>
    </row>
    <row r="8">
      <c r="A8" s="4" t="inlineStr">
        <is>
          <t>HYUNDAI</t>
        </is>
      </c>
      <c r="B8" s="5" t="n">
        <v>10808</v>
      </c>
    </row>
    <row r="9">
      <c r="A9" s="4" t="inlineStr">
        <is>
          <t>CHEVROLET</t>
        </is>
      </c>
      <c r="B9" s="5" t="n">
        <v>9787</v>
      </c>
    </row>
    <row r="10">
      <c r="A10" s="4" t="inlineStr">
        <is>
          <t>VOLKSWAGEN</t>
        </is>
      </c>
      <c r="B10" s="5" t="n">
        <v>9298</v>
      </c>
    </row>
    <row r="11">
      <c r="A11" s="6" t="inlineStr">
        <is>
          <t>итого</t>
        </is>
      </c>
      <c r="B11" s="7">
        <f>SUM(B4:B10)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Продажи автомобилей в России за январь 2012 г.</t>
        </is>
      </c>
    </row>
    <row r="3">
      <c r="A3" s="3" t="inlineStr">
        <is>
          <t>Марка</t>
        </is>
      </c>
      <c r="B3" s="3" t="inlineStr">
        <is>
          <t>Кол-во проданных автомобилей</t>
        </is>
      </c>
    </row>
    <row r="4">
      <c r="A4" s="4" t="inlineStr">
        <is>
          <t>LADA</t>
        </is>
      </c>
      <c r="B4" s="5" t="n">
        <v>29034</v>
      </c>
    </row>
    <row r="5">
      <c r="A5" s="4" t="inlineStr">
        <is>
          <t>KIA</t>
        </is>
      </c>
      <c r="B5" s="5" t="n">
        <v>11009</v>
      </c>
    </row>
    <row r="6">
      <c r="A6" s="4" t="inlineStr">
        <is>
          <t>RENAULT</t>
        </is>
      </c>
      <c r="B6" s="5" t="n">
        <v>10909</v>
      </c>
    </row>
    <row r="7">
      <c r="A7" s="4" t="inlineStr">
        <is>
          <t>HYUNDAI</t>
        </is>
      </c>
      <c r="B7" s="5" t="n">
        <v>10808</v>
      </c>
    </row>
    <row r="8">
      <c r="A8" s="4" t="inlineStr">
        <is>
          <t>NISSAN</t>
        </is>
      </c>
      <c r="B8" s="5" t="n">
        <v>10780</v>
      </c>
    </row>
    <row r="9">
      <c r="A9" s="4" t="inlineStr">
        <is>
          <t>CHEVROLET</t>
        </is>
      </c>
      <c r="B9" s="5" t="n">
        <v>9787</v>
      </c>
    </row>
    <row r="10">
      <c r="A10" s="4" t="inlineStr">
        <is>
          <t>VOLKSWAGEN</t>
        </is>
      </c>
      <c r="B10" s="5" t="n">
        <v>9298</v>
      </c>
    </row>
    <row r="11">
      <c r="A11" s="6" t="inlineStr">
        <is>
          <t>итого</t>
        </is>
      </c>
      <c r="B11" s="7">
        <f>SUM(B4:B10)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2" t="inlineStr">
        <is>
          <t>1) Выпуск специалистов по направлениям, тыс. чел.</t>
        </is>
      </c>
    </row>
    <row r="2">
      <c r="A2" s="3" t="inlineStr">
        <is>
          <t>Направление</t>
        </is>
      </c>
      <c r="B2" s="3" t="n">
        <v>2006</v>
      </c>
      <c r="C2" s="3" t="n">
        <v>2005</v>
      </c>
      <c r="D2" s="3" t="n">
        <v>2004</v>
      </c>
    </row>
    <row r="3">
      <c r="A3" s="8" t="inlineStr">
        <is>
          <t>экономика и управление</t>
        </is>
      </c>
      <c r="B3" s="4" t="n">
        <v>325.6</v>
      </c>
      <c r="C3" s="4" t="n">
        <v>292.7</v>
      </c>
      <c r="D3" s="4" t="n">
        <v>269.9</v>
      </c>
    </row>
    <row r="4">
      <c r="A4" s="8" t="inlineStr">
        <is>
          <t>гуманитарные науки</t>
        </is>
      </c>
      <c r="B4" s="4" t="n">
        <v>160.3</v>
      </c>
      <c r="C4" s="4" t="n">
        <v>145.1</v>
      </c>
      <c r="D4" s="4" t="n">
        <v>144.7</v>
      </c>
    </row>
    <row r="5">
      <c r="A5" s="8" t="inlineStr">
        <is>
          <t>образование и педагогика</t>
        </is>
      </c>
      <c r="B5" s="4" t="n">
        <v>125.3</v>
      </c>
      <c r="C5" s="4" t="n">
        <v>129</v>
      </c>
      <c r="D5" s="4" t="n">
        <v>127.5</v>
      </c>
    </row>
    <row r="6">
      <c r="A6" s="8" t="inlineStr">
        <is>
          <t>сельское и рыбное хозяйство</t>
        </is>
      </c>
      <c r="B6" s="4" t="n">
        <v>36.9</v>
      </c>
      <c r="C6" s="4" t="n">
        <v>34.8</v>
      </c>
      <c r="D6" s="4" t="n">
        <v>32.7</v>
      </c>
    </row>
    <row r="7">
      <c r="A7" s="8" t="inlineStr">
        <is>
          <t>архитектура и строительство</t>
        </is>
      </c>
      <c r="B7" s="4" t="n">
        <v>31.8</v>
      </c>
      <c r="C7" s="4" t="n">
        <v>29.4</v>
      </c>
      <c r="D7" s="4" t="n">
        <v>26.6</v>
      </c>
    </row>
    <row r="8">
      <c r="A8" s="8" t="inlineStr">
        <is>
          <t>здравоохранение</t>
        </is>
      </c>
      <c r="B8" s="4" t="n">
        <v>31</v>
      </c>
      <c r="C8" s="4" t="n">
        <v>28.2</v>
      </c>
      <c r="D8" s="4" t="n">
        <v>26.8</v>
      </c>
    </row>
    <row r="9">
      <c r="A9" s="8" t="inlineStr">
        <is>
          <t>транспортные средства</t>
        </is>
      </c>
      <c r="B9" s="4" t="n">
        <v>30.4</v>
      </c>
      <c r="C9" s="4" t="n">
        <v>29.4</v>
      </c>
      <c r="D9" s="4" t="n">
        <v>26.1</v>
      </c>
    </row>
    <row r="10">
      <c r="A10" s="8" t="inlineStr">
        <is>
          <t>металлургия, машиностроение и металлообработка</t>
        </is>
      </c>
      <c r="B10" s="4" t="n">
        <v>26.5</v>
      </c>
      <c r="C10" s="4" t="n">
        <v>25.8</v>
      </c>
      <c r="D10" s="4" t="n">
        <v>23.4</v>
      </c>
    </row>
    <row r="11">
      <c r="A11" s="8" t="inlineStr">
        <is>
          <t>энергетика, энергетическое машиностроение и электротехника</t>
        </is>
      </c>
      <c r="B11" s="4" t="n">
        <v>23.4</v>
      </c>
      <c r="C11" s="4" t="n">
        <v>22</v>
      </c>
      <c r="D11" s="4" t="n">
        <v>19.9</v>
      </c>
    </row>
    <row r="12">
      <c r="A12" s="8" t="inlineStr">
        <is>
          <t>информатика и вычислительная техника</t>
        </is>
      </c>
      <c r="B12" s="4" t="n">
        <v>20.5</v>
      </c>
      <c r="C12" s="4" t="n">
        <v>17.7</v>
      </c>
      <c r="D12" s="4" t="n">
        <v>17.5</v>
      </c>
    </row>
    <row r="15">
      <c r="A15" s="2" t="inlineStr">
        <is>
          <t>2) Страны-участники (доли, %)</t>
        </is>
      </c>
    </row>
    <row r="16">
      <c r="A16" s="3" t="inlineStr">
        <is>
          <t>Страна</t>
        </is>
      </c>
      <c r="B16" s="3" t="inlineStr">
        <is>
          <t>Доля</t>
        </is>
      </c>
    </row>
    <row r="17">
      <c r="A17" s="4" t="inlineStr">
        <is>
          <t>Россия</t>
        </is>
      </c>
      <c r="B17" s="9" t="n">
        <v>0.48</v>
      </c>
    </row>
    <row r="18">
      <c r="A18" s="4" t="inlineStr">
        <is>
          <t>Англия</t>
        </is>
      </c>
      <c r="B18" s="9" t="n">
        <v>0.25</v>
      </c>
    </row>
    <row r="19">
      <c r="A19" s="4" t="inlineStr">
        <is>
          <t>США</t>
        </is>
      </c>
      <c r="B19" s="9" t="n">
        <v>0.15</v>
      </c>
    </row>
    <row r="20">
      <c r="A20" s="4" t="inlineStr">
        <is>
          <t>Остальные</t>
        </is>
      </c>
      <c r="B20" s="9" t="n">
        <v>0.12</v>
      </c>
    </row>
    <row r="23">
      <c r="A23" s="2" t="inlineStr">
        <is>
          <t>3) Объём продаж в спортивном магазине, шт.</t>
        </is>
      </c>
    </row>
    <row r="24">
      <c r="A24" s="3" t="inlineStr"/>
      <c r="B24" s="3" t="inlineStr">
        <is>
          <t>Коньки</t>
        </is>
      </c>
      <c r="C24" s="3" t="inlineStr">
        <is>
          <t>Сноуборды</t>
        </is>
      </c>
      <c r="D24" s="3" t="inlineStr">
        <is>
          <t>Велосипеды</t>
        </is>
      </c>
      <c r="E24" s="3" t="inlineStr">
        <is>
          <t>Мячи</t>
        </is>
      </c>
    </row>
    <row r="25">
      <c r="A25" s="4" t="inlineStr">
        <is>
          <t>Зима</t>
        </is>
      </c>
      <c r="B25" s="4" t="n">
        <v>150</v>
      </c>
      <c r="C25" s="4" t="n">
        <v>140</v>
      </c>
      <c r="D25" s="4" t="n">
        <v>50</v>
      </c>
      <c r="E25" s="4" t="n">
        <v>40</v>
      </c>
    </row>
    <row r="26">
      <c r="A26" s="4" t="inlineStr">
        <is>
          <t>Весна</t>
        </is>
      </c>
      <c r="B26" s="4" t="n">
        <v>50</v>
      </c>
      <c r="C26" s="4" t="n">
        <v>70</v>
      </c>
      <c r="D26" s="4" t="n">
        <v>100</v>
      </c>
      <c r="E26" s="4" t="n">
        <v>60</v>
      </c>
    </row>
    <row r="27">
      <c r="A27" s="4" t="inlineStr">
        <is>
          <t>Лето</t>
        </is>
      </c>
      <c r="B27" s="4" t="n">
        <v>5</v>
      </c>
      <c r="C27" s="4" t="n">
        <v>30</v>
      </c>
      <c r="D27" s="4" t="n">
        <v>135</v>
      </c>
      <c r="E27" s="4" t="n">
        <v>100</v>
      </c>
    </row>
    <row r="28">
      <c r="A28" s="4" t="inlineStr">
        <is>
          <t>Осень</t>
        </is>
      </c>
      <c r="B28" s="4" t="n">
        <v>80</v>
      </c>
      <c r="C28" s="4" t="n">
        <v>90</v>
      </c>
      <c r="D28" s="4" t="n">
        <v>70</v>
      </c>
      <c r="E28" s="4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9" customWidth="1" min="4" max="4"/>
    <col width="13" customWidth="1" min="5" max="5"/>
  </cols>
  <sheetData>
    <row r="1">
      <c r="A1" s="2" t="inlineStr">
        <is>
          <t>Таблица. КОЛИЧЕСТВО И СПЕЦИАЛИЗАЦИЯ ВЫПУСКНИКОВ РОССИЙСКИХ ВУЗОВ в 1900-1913</t>
        </is>
      </c>
    </row>
    <row r="2">
      <c r="A2" s="3" t="inlineStr">
        <is>
          <t>Специальность</t>
        </is>
      </c>
      <c r="B2" s="3" t="inlineStr">
        <is>
          <t>1900-1908</t>
        </is>
      </c>
      <c r="C2" s="3" t="inlineStr">
        <is>
          <t>1909-1913</t>
        </is>
      </c>
      <c r="D2" s="3" t="inlineStr">
        <is>
          <t>1913</t>
        </is>
      </c>
      <c r="E2" s="3" t="inlineStr">
        <is>
          <t>Всего за 1900-1913</t>
        </is>
      </c>
    </row>
    <row r="3">
      <c r="A3" s="8" t="inlineStr">
        <is>
          <t>Юристы</t>
        </is>
      </c>
      <c r="B3" s="4" t="n">
        <v>11598</v>
      </c>
      <c r="C3" s="4" t="n">
        <v>14491</v>
      </c>
      <c r="D3" s="4" t="n">
        <v>2624</v>
      </c>
      <c r="E3" s="4">
        <f>B3+C3</f>
        <v/>
      </c>
    </row>
    <row r="4">
      <c r="A4" s="8" t="inlineStr">
        <is>
          <t>Врачи</t>
        </is>
      </c>
      <c r="B4" s="4" t="n">
        <v>7640</v>
      </c>
      <c r="C4" s="4" t="n">
        <v>8351</v>
      </c>
      <c r="D4" s="4" t="n">
        <v>2042</v>
      </c>
      <c r="E4" s="4">
        <f>B4+C4</f>
        <v/>
      </c>
    </row>
    <row r="5">
      <c r="A5" s="8" t="inlineStr">
        <is>
          <t>Педагоги</t>
        </is>
      </c>
      <c r="B5" s="4" t="n">
        <v>6174</v>
      </c>
      <c r="C5" s="4" t="n">
        <v>8402</v>
      </c>
      <c r="D5" s="4" t="n">
        <v>1747</v>
      </c>
      <c r="E5" s="4">
        <f>B5+C5</f>
        <v/>
      </c>
    </row>
    <row r="6">
      <c r="A6" s="8" t="inlineStr">
        <is>
          <t>Офицеры</t>
        </is>
      </c>
      <c r="B6" s="4" t="n">
        <v>1976</v>
      </c>
      <c r="C6" s="4" t="n">
        <v>1467</v>
      </c>
      <c r="D6" s="4" t="n">
        <v>444</v>
      </c>
      <c r="E6" s="4">
        <f>B6+C6</f>
        <v/>
      </c>
    </row>
    <row r="7">
      <c r="A7" s="8" t="inlineStr">
        <is>
          <t>Священнослужители</t>
        </is>
      </c>
      <c r="B7" s="4" t="n">
        <v>2264</v>
      </c>
      <c r="C7" s="4" t="n">
        <v>1208</v>
      </c>
      <c r="D7" s="4" t="n">
        <v>236</v>
      </c>
      <c r="E7" s="4">
        <f>B7+C7</f>
        <v/>
      </c>
    </row>
    <row r="8">
      <c r="A8" s="8" t="inlineStr">
        <is>
          <t>Востоковеды</t>
        </is>
      </c>
      <c r="B8" s="4" t="n">
        <v>402</v>
      </c>
      <c r="C8" s="4" t="n">
        <v>313</v>
      </c>
      <c r="D8" s="4" t="n">
        <v>53</v>
      </c>
      <c r="E8" s="4">
        <f>B8+C8</f>
        <v/>
      </c>
    </row>
    <row r="9">
      <c r="A9" s="8" t="inlineStr">
        <is>
          <t>Инженеры фабрично-заводского производства</t>
        </is>
      </c>
      <c r="B9" s="4" t="n">
        <v>4650</v>
      </c>
      <c r="C9" s="4" t="n">
        <v>4452</v>
      </c>
      <c r="D9" s="4" t="n">
        <v>1277</v>
      </c>
      <c r="E9" s="4">
        <f>B9+C9</f>
        <v/>
      </c>
    </row>
    <row r="10">
      <c r="A10" s="8" t="inlineStr">
        <is>
          <t>Инженеры путей сообщения</t>
        </is>
      </c>
      <c r="B10" s="4" t="n">
        <v>1364</v>
      </c>
      <c r="C10" s="4" t="n">
        <v>939</v>
      </c>
      <c r="D10" s="4" t="n">
        <v>208</v>
      </c>
      <c r="E10" s="4">
        <f>B10+C10</f>
        <v/>
      </c>
    </row>
    <row r="11">
      <c r="A11" s="8" t="inlineStr">
        <is>
          <t>Горные инженеры</t>
        </is>
      </c>
      <c r="B11" s="4" t="n">
        <v>624</v>
      </c>
      <c r="C11" s="4" t="n">
        <v>623</v>
      </c>
      <c r="D11" s="4" t="n">
        <v>166</v>
      </c>
      <c r="E11" s="4">
        <f>B11+C11</f>
        <v/>
      </c>
    </row>
    <row r="12">
      <c r="A12" s="8" t="inlineStr">
        <is>
          <t>Инженеры строители, архитекторы</t>
        </is>
      </c>
      <c r="B12" s="4" t="n">
        <v>799</v>
      </c>
      <c r="C12" s="4" t="n">
        <v>561</v>
      </c>
      <c r="D12" s="4" t="n">
        <v>105</v>
      </c>
      <c r="E12" s="4">
        <f>B12+C12</f>
        <v/>
      </c>
    </row>
    <row r="13">
      <c r="A13" s="8" t="inlineStr">
        <is>
          <t>Инженеры связи</t>
        </is>
      </c>
      <c r="B13" s="4" t="n">
        <v>169</v>
      </c>
      <c r="C13" s="4" t="n">
        <v>201</v>
      </c>
      <c r="D13" s="4" t="n">
        <v>65</v>
      </c>
      <c r="E13" s="4">
        <f>B13+C13</f>
        <v/>
      </c>
    </row>
    <row r="14">
      <c r="A14" s="8" t="inlineStr">
        <is>
          <t>Экономисты</t>
        </is>
      </c>
      <c r="B14" s="4" t="n">
        <v>448</v>
      </c>
      <c r="C14" s="4" t="n">
        <v>762</v>
      </c>
      <c r="D14" s="4" t="n">
        <v>180</v>
      </c>
      <c r="E14" s="4">
        <f>B14+C14</f>
        <v/>
      </c>
    </row>
    <row r="15">
      <c r="A15" s="8" t="inlineStr">
        <is>
          <t>Агрономы, лесоводы, ветеринары, межевые инженеры</t>
        </is>
      </c>
      <c r="B15" s="4" t="n">
        <v>3868</v>
      </c>
      <c r="C15" s="4" t="n">
        <v>3308</v>
      </c>
      <c r="D15" s="4" t="n">
        <v>841</v>
      </c>
      <c r="E15" s="4">
        <f>B15+C15</f>
        <v/>
      </c>
    </row>
    <row r="16">
      <c r="A16" s="8" t="inlineStr">
        <is>
          <t>Художники ваятели</t>
        </is>
      </c>
      <c r="B16" s="4" t="n">
        <v>177</v>
      </c>
      <c r="C16" s="4" t="n">
        <v>48</v>
      </c>
      <c r="D16" s="4" t="n">
        <v>19</v>
      </c>
      <c r="E16" s="4">
        <f>B16+C16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4" customWidth="1" min="4" max="4"/>
    <col width="12" customWidth="1" min="5" max="5"/>
    <col width="11" customWidth="1" min="6" max="6"/>
    <col width="9" customWidth="1" min="7" max="7"/>
    <col width="13" customWidth="1" min="8" max="8"/>
    <col width="12" customWidth="1" min="9" max="9"/>
  </cols>
  <sheetData>
    <row r="1">
      <c r="A1" s="10" t="inlineStr">
        <is>
          <t>Поступление на факультет Вычислительной математики и кибернетики</t>
        </is>
      </c>
    </row>
    <row r="3">
      <c r="A3" s="3" t="inlineStr">
        <is>
          <t>№</t>
        </is>
      </c>
      <c r="B3" s="3" t="inlineStr">
        <is>
          <t>Фамилия</t>
        </is>
      </c>
      <c r="C3" s="3" t="inlineStr">
        <is>
          <t>Имя</t>
        </is>
      </c>
      <c r="D3" s="3" t="inlineStr">
        <is>
          <t>Отчество</t>
        </is>
      </c>
      <c r="E3" s="3" t="inlineStr">
        <is>
          <t>Город</t>
        </is>
      </c>
      <c r="F3" s="3" t="inlineStr">
        <is>
          <t>Математика</t>
        </is>
      </c>
      <c r="G3" s="3" t="inlineStr">
        <is>
          <t>Русский</t>
        </is>
      </c>
      <c r="H3" s="3" t="inlineStr">
        <is>
          <t>Информатика</t>
        </is>
      </c>
      <c r="I3" s="3" t="inlineStr">
        <is>
          <t>Общий балл</t>
        </is>
      </c>
    </row>
    <row r="4">
      <c r="A4" s="4" t="n">
        <v>2</v>
      </c>
      <c r="B4" s="4" t="inlineStr">
        <is>
          <t>Караваева</t>
        </is>
      </c>
      <c r="C4" s="4" t="inlineStr">
        <is>
          <t>Анна</t>
        </is>
      </c>
      <c r="D4" s="4" t="inlineStr">
        <is>
          <t>Сергеевна</t>
        </is>
      </c>
      <c r="E4" s="4" t="inlineStr">
        <is>
          <t>Новгород</t>
        </is>
      </c>
      <c r="F4" s="4" t="n">
        <v>78</v>
      </c>
      <c r="G4" s="4" t="n">
        <v>94</v>
      </c>
      <c r="H4" s="4" t="n">
        <v>92</v>
      </c>
      <c r="I4" s="4">
        <f>SUM(F4:H4)</f>
        <v/>
      </c>
    </row>
    <row r="5">
      <c r="A5" s="4" t="n">
        <v>6</v>
      </c>
      <c r="B5" s="4" t="inlineStr">
        <is>
          <t>Челубеева</t>
        </is>
      </c>
      <c r="C5" s="4" t="inlineStr">
        <is>
          <t>Аглая</t>
        </is>
      </c>
      <c r="D5" s="4" t="inlineStr">
        <is>
          <t>Петровна</t>
        </is>
      </c>
      <c r="E5" s="4" t="inlineStr">
        <is>
          <t>Сергач</t>
        </is>
      </c>
      <c r="F5" s="4" t="n">
        <v>70</v>
      </c>
      <c r="G5" s="4" t="n">
        <v>94</v>
      </c>
      <c r="H5" s="4" t="n">
        <v>95</v>
      </c>
      <c r="I5" s="4">
        <f>SUM(F5:H5)</f>
        <v/>
      </c>
    </row>
    <row r="6">
      <c r="A6" s="4" t="n">
        <v>3</v>
      </c>
      <c r="B6" s="4" t="inlineStr">
        <is>
          <t>Солодова</t>
        </is>
      </c>
      <c r="C6" s="4" t="inlineStr">
        <is>
          <t>Светлана</t>
        </is>
      </c>
      <c r="D6" s="4" t="inlineStr">
        <is>
          <t>Викторовна</t>
        </is>
      </c>
      <c r="E6" s="4" t="inlineStr">
        <is>
          <t>Воронеж</t>
        </is>
      </c>
      <c r="F6" s="4" t="n">
        <v>69</v>
      </c>
      <c r="G6" s="4" t="n">
        <v>100</v>
      </c>
      <c r="H6" s="4" t="n">
        <v>85</v>
      </c>
      <c r="I6" s="4">
        <f>SUM(F6:H6)</f>
        <v/>
      </c>
    </row>
    <row r="7">
      <c r="A7" s="4" t="n">
        <v>1</v>
      </c>
      <c r="B7" s="4" t="inlineStr">
        <is>
          <t>Загосин</t>
        </is>
      </c>
      <c r="C7" s="4" t="inlineStr">
        <is>
          <t>Михаил</t>
        </is>
      </c>
      <c r="D7" s="4" t="inlineStr">
        <is>
          <t>Юрьевич</t>
        </is>
      </c>
      <c r="E7" s="4" t="inlineStr">
        <is>
          <t>Тула</t>
        </is>
      </c>
      <c r="F7" s="4" t="n">
        <v>75</v>
      </c>
      <c r="G7" s="4" t="n">
        <v>84</v>
      </c>
      <c r="H7" s="4" t="n">
        <v>88</v>
      </c>
      <c r="I7" s="4">
        <f>SUM(F7:H7)</f>
        <v/>
      </c>
    </row>
    <row r="8">
      <c r="A8" s="4" t="n">
        <v>4</v>
      </c>
      <c r="B8" s="4" t="inlineStr">
        <is>
          <t>Костин</t>
        </is>
      </c>
      <c r="C8" s="4" t="inlineStr">
        <is>
          <t>Вячеслав</t>
        </is>
      </c>
      <c r="D8" s="4" t="inlineStr">
        <is>
          <t>Николаевич</t>
        </is>
      </c>
      <c r="E8" s="4" t="inlineStr">
        <is>
          <t>Рязань</t>
        </is>
      </c>
      <c r="F8" s="4" t="n">
        <v>65</v>
      </c>
      <c r="G8" s="4" t="n">
        <v>88</v>
      </c>
      <c r="H8" s="4" t="n">
        <v>88</v>
      </c>
      <c r="I8" s="4">
        <f>SUM(F8:H8)</f>
        <v/>
      </c>
    </row>
    <row r="9">
      <c r="A9" s="4" t="n">
        <v>5</v>
      </c>
      <c r="B9" s="4" t="inlineStr">
        <is>
          <t>Денисов</t>
        </is>
      </c>
      <c r="C9" s="4" t="inlineStr">
        <is>
          <t>Карп</t>
        </is>
      </c>
      <c r="D9" s="4" t="inlineStr">
        <is>
          <t>Савельевич</t>
        </is>
      </c>
      <c r="E9" s="4" t="inlineStr">
        <is>
          <t>Иваново</t>
        </is>
      </c>
      <c r="F9" s="4" t="n">
        <v>73</v>
      </c>
      <c r="G9" s="4" t="n">
        <v>65</v>
      </c>
      <c r="H9" s="4" t="n">
        <v>100</v>
      </c>
      <c r="I9" s="4">
        <f>SUM(F9:H9)</f>
        <v/>
      </c>
    </row>
    <row r="10">
      <c r="A10" s="4" t="n">
        <v>7</v>
      </c>
      <c r="B10" s="4" t="inlineStr">
        <is>
          <t>Поляков</t>
        </is>
      </c>
      <c r="C10" s="4" t="inlineStr">
        <is>
          <t>Виктор</t>
        </is>
      </c>
      <c r="D10" s="4" t="inlineStr">
        <is>
          <t>Семенович</t>
        </is>
      </c>
      <c r="E10" s="4" t="inlineStr">
        <is>
          <t>Калуга</t>
        </is>
      </c>
      <c r="F10" s="4" t="n">
        <v>68</v>
      </c>
      <c r="G10" s="4" t="n">
        <v>69</v>
      </c>
      <c r="H10" s="4" t="n">
        <v>70</v>
      </c>
      <c r="I10" s="4">
        <f>SUM(F10:H10)</f>
        <v/>
      </c>
    </row>
    <row r="12">
      <c r="A12" s="11" t="inlineStr">
        <is>
          <t>Отсортировано по общему баллу (по убыванию).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7" customWidth="1" min="4" max="4"/>
    <col width="19" customWidth="1" min="5" max="5"/>
  </cols>
  <sheetData>
    <row r="1">
      <c r="A1" s="3" t="inlineStr">
        <is>
          <t>Фамилия</t>
        </is>
      </c>
      <c r="B1" s="3" t="inlineStr">
        <is>
          <t>Имя</t>
        </is>
      </c>
      <c r="C1" s="3" t="inlineStr">
        <is>
          <t>Отчество</t>
        </is>
      </c>
      <c r="D1" s="3" t="inlineStr">
        <is>
          <t>Город</t>
        </is>
      </c>
      <c r="E1" s="3" t="inlineStr">
        <is>
          <t>Телефон</t>
        </is>
      </c>
      <c r="G1" s="11" t="inlineStr">
        <is>
          <t>Фильтр по городу: оставлены только иногородние (Самара скрыта).</t>
        </is>
      </c>
    </row>
    <row r="2" hidden="1">
      <c r="A2" s="4" t="inlineStr">
        <is>
          <t>Гражданкина</t>
        </is>
      </c>
      <c r="B2" s="4" t="inlineStr">
        <is>
          <t>Анастасия</t>
        </is>
      </c>
      <c r="C2" s="4" t="inlineStr">
        <is>
          <t>Дмитриевна</t>
        </is>
      </c>
      <c r="D2" s="4" t="inlineStr">
        <is>
          <t>Самара</t>
        </is>
      </c>
      <c r="E2" s="4" t="inlineStr">
        <is>
          <t>8 (927) 214-35-08</t>
        </is>
      </c>
    </row>
    <row r="3">
      <c r="A3" s="4" t="inlineStr">
        <is>
          <t>Ермолаева</t>
        </is>
      </c>
      <c r="B3" s="4" t="inlineStr">
        <is>
          <t>Полина</t>
        </is>
      </c>
      <c r="C3" s="4" t="inlineStr">
        <is>
          <t>Игоревна</t>
        </is>
      </c>
      <c r="D3" s="4" t="inlineStr">
        <is>
          <t>Тольятти</t>
        </is>
      </c>
      <c r="E3" s="4" t="inlineStr">
        <is>
          <t>8 (937) 551-20-17</t>
        </is>
      </c>
    </row>
    <row r="4" hidden="1">
      <c r="A4" s="4" t="inlineStr">
        <is>
          <t>Захаров</t>
        </is>
      </c>
      <c r="B4" s="4" t="inlineStr">
        <is>
          <t>Артём</t>
        </is>
      </c>
      <c r="C4" s="4" t="inlineStr">
        <is>
          <t>Олегович</t>
        </is>
      </c>
      <c r="D4" s="4" t="inlineStr">
        <is>
          <t>Самара</t>
        </is>
      </c>
      <c r="E4" s="4" t="inlineStr">
        <is>
          <t>8 (917) 103-46-92</t>
        </is>
      </c>
    </row>
    <row r="5">
      <c r="A5" s="4" t="inlineStr">
        <is>
          <t>Ильина</t>
        </is>
      </c>
      <c r="B5" s="4" t="inlineStr">
        <is>
          <t>Виктория</t>
        </is>
      </c>
      <c r="C5" s="4" t="inlineStr">
        <is>
          <t>Андреевна</t>
        </is>
      </c>
      <c r="D5" s="4" t="inlineStr">
        <is>
          <t>Сызрань</t>
        </is>
      </c>
      <c r="E5" s="4" t="inlineStr">
        <is>
          <t>8 (960) 819-07-33</t>
        </is>
      </c>
    </row>
    <row r="6" hidden="1">
      <c r="A6" s="4" t="inlineStr">
        <is>
          <t>Коротков</t>
        </is>
      </c>
      <c r="B6" s="4" t="inlineStr">
        <is>
          <t>Никита</t>
        </is>
      </c>
      <c r="C6" s="4" t="inlineStr">
        <is>
          <t>Сергеевич</t>
        </is>
      </c>
      <c r="D6" s="4" t="inlineStr">
        <is>
          <t>Самара</t>
        </is>
      </c>
      <c r="E6" s="4" t="inlineStr">
        <is>
          <t>8 (902) 330-61-45</t>
        </is>
      </c>
    </row>
    <row r="7">
      <c r="A7" s="4" t="inlineStr">
        <is>
          <t>Лукьянова</t>
        </is>
      </c>
      <c r="B7" s="4" t="inlineStr">
        <is>
          <t>Дарья</t>
        </is>
      </c>
      <c r="C7" s="4" t="inlineStr">
        <is>
          <t>Романовна</t>
        </is>
      </c>
      <c r="D7" s="4" t="inlineStr">
        <is>
          <t>Новокуйбышевск</t>
        </is>
      </c>
      <c r="E7" s="4" t="inlineStr">
        <is>
          <t>8 (927) 698-12-70</t>
        </is>
      </c>
    </row>
    <row r="8">
      <c r="A8" s="4" t="inlineStr">
        <is>
          <t>Мельников</t>
        </is>
      </c>
      <c r="B8" s="4" t="inlineStr">
        <is>
          <t>Данил</t>
        </is>
      </c>
      <c r="C8" s="4" t="inlineStr">
        <is>
          <t>Павлович</t>
        </is>
      </c>
      <c r="D8" s="4" t="inlineStr">
        <is>
          <t>Чапаевск</t>
        </is>
      </c>
      <c r="E8" s="4" t="inlineStr">
        <is>
          <t>8 (937) 047-83-26</t>
        </is>
      </c>
    </row>
    <row r="9" hidden="1">
      <c r="A9" s="4" t="inlineStr">
        <is>
          <t>Назарова</t>
        </is>
      </c>
      <c r="B9" s="4" t="inlineStr">
        <is>
          <t>Екатерина</t>
        </is>
      </c>
      <c r="C9" s="4" t="inlineStr">
        <is>
          <t>Алексеевна</t>
        </is>
      </c>
      <c r="D9" s="4" t="inlineStr">
        <is>
          <t>Самара</t>
        </is>
      </c>
      <c r="E9" s="4" t="inlineStr">
        <is>
          <t>8 (917) 772-54-19</t>
        </is>
      </c>
    </row>
    <row r="10">
      <c r="A10" s="4" t="inlineStr">
        <is>
          <t>Орлов</t>
        </is>
      </c>
      <c r="B10" s="4" t="inlineStr">
        <is>
          <t>Кирилл</t>
        </is>
      </c>
      <c r="C10" s="4" t="inlineStr">
        <is>
          <t>Дмитриевич</t>
        </is>
      </c>
      <c r="D10" s="4" t="inlineStr">
        <is>
          <t>Тольятти</t>
        </is>
      </c>
      <c r="E10" s="4" t="inlineStr">
        <is>
          <t>8 (987) 265-90-31</t>
        </is>
      </c>
    </row>
    <row r="11" hidden="1">
      <c r="A11" s="4" t="inlineStr">
        <is>
          <t>Панина</t>
        </is>
      </c>
      <c r="B11" s="4" t="inlineStr">
        <is>
          <t>Софья</t>
        </is>
      </c>
      <c r="C11" s="4" t="inlineStr">
        <is>
          <t>Михайловна</t>
        </is>
      </c>
      <c r="D11" s="4" t="inlineStr">
        <is>
          <t>Самара</t>
        </is>
      </c>
      <c r="E11" s="4" t="inlineStr">
        <is>
          <t>8 (960) 458-37-64</t>
        </is>
      </c>
    </row>
  </sheetData>
  <autoFilter ref="A1:E11">
    <filterColumn colId="3" hiddenButton="0" showButton="1">
      <filters blank="0">
        <filter val="Новокуйбышевск"/>
        <filter val="Сызрань"/>
        <filter val="Тольятти"/>
        <filter val="Чапаевск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2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16" customWidth="1" min="17" max="17"/>
  </cols>
  <sheetData>
    <row r="1">
      <c r="A1" s="12" t="inlineStr">
        <is>
          <t>План поставки трубной продукции</t>
        </is>
      </c>
    </row>
    <row r="3" ht="30" customHeight="1">
      <c r="A3" s="3" t="inlineStr">
        <is>
          <t>№ п/п</t>
        </is>
      </c>
      <c r="B3" s="3" t="inlineStr">
        <is>
          <t>Наименование поставщика</t>
        </is>
      </c>
      <c r="C3" s="3" t="inlineStr">
        <is>
          <t>Диаметр (в м)</t>
        </is>
      </c>
      <c r="D3" s="3" t="inlineStr">
        <is>
          <t>Цена в руб. за 1 м</t>
        </is>
      </c>
      <c r="E3" s="3" t="inlineStr">
        <is>
          <t>в том числе по месяцам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inlineStr">
        <is>
          <t>Стоимость продукции за год в руб.</t>
        </is>
      </c>
    </row>
    <row r="4" ht="30" customHeight="1">
      <c r="A4" s="3" t="n"/>
      <c r="B4" s="3" t="n"/>
      <c r="C4" s="3" t="n"/>
      <c r="D4" s="3" t="n"/>
      <c r="E4" s="3" t="inlineStr">
        <is>
          <t>Январь</t>
        </is>
      </c>
      <c r="F4" s="3" t="inlineStr">
        <is>
          <t>Февраль</t>
        </is>
      </c>
      <c r="G4" s="3" t="inlineStr">
        <is>
          <t>Март</t>
        </is>
      </c>
      <c r="H4" s="3" t="inlineStr">
        <is>
          <t>Апрель</t>
        </is>
      </c>
      <c r="I4" s="3" t="inlineStr">
        <is>
          <t>Май</t>
        </is>
      </c>
      <c r="J4" s="3" t="inlineStr">
        <is>
          <t>Июнь</t>
        </is>
      </c>
      <c r="K4" s="3" t="inlineStr">
        <is>
          <t>Июль</t>
        </is>
      </c>
      <c r="L4" s="3" t="inlineStr">
        <is>
          <t>Август</t>
        </is>
      </c>
      <c r="M4" s="3" t="inlineStr">
        <is>
          <t>Сентябрь</t>
        </is>
      </c>
      <c r="N4" s="3" t="inlineStr">
        <is>
          <t>Октябрь</t>
        </is>
      </c>
      <c r="O4" s="3" t="inlineStr">
        <is>
          <t>Ноябрь</t>
        </is>
      </c>
      <c r="P4" s="3" t="inlineStr">
        <is>
          <t>Декабрь</t>
        </is>
      </c>
      <c r="Q4" s="3" t="n"/>
    </row>
    <row r="5">
      <c r="A5" s="4" t="n">
        <v>1</v>
      </c>
      <c r="B5" s="4" t="inlineStr">
        <is>
          <t>Трубзавод1</t>
        </is>
      </c>
      <c r="C5" s="4" t="n">
        <v>20</v>
      </c>
      <c r="D5" s="4" t="n">
        <v>50000</v>
      </c>
      <c r="E5" s="4" t="n">
        <v>20</v>
      </c>
      <c r="F5" s="4" t="n">
        <v>21</v>
      </c>
      <c r="G5" s="4" t="n">
        <v>10</v>
      </c>
      <c r="H5" s="4" t="n">
        <v>15</v>
      </c>
      <c r="I5" s="4" t="n">
        <v>34</v>
      </c>
      <c r="J5" s="4" t="n">
        <v>16</v>
      </c>
      <c r="K5" s="4" t="n">
        <v>17</v>
      </c>
      <c r="L5" s="4" t="n">
        <v>12</v>
      </c>
      <c r="M5" s="4" t="n">
        <v>32</v>
      </c>
      <c r="N5" s="4" t="n">
        <v>10</v>
      </c>
      <c r="O5" s="4" t="n">
        <v>11</v>
      </c>
      <c r="P5" s="4" t="n">
        <v>23</v>
      </c>
      <c r="Q5" s="5">
        <f>D5*SUM(E5:P5)</f>
        <v/>
      </c>
    </row>
    <row r="6">
      <c r="A6" s="4" t="n">
        <v>2</v>
      </c>
      <c r="B6" s="4" t="inlineStr">
        <is>
          <t>Трубзавод 2</t>
        </is>
      </c>
      <c r="C6" s="4" t="n">
        <v>30</v>
      </c>
      <c r="D6" s="4" t="n">
        <v>78000</v>
      </c>
      <c r="E6" s="4" t="n">
        <v>56</v>
      </c>
      <c r="F6" s="4" t="n">
        <v>33</v>
      </c>
      <c r="G6" s="4" t="n">
        <v>23</v>
      </c>
      <c r="H6" s="4" t="n">
        <v>24</v>
      </c>
      <c r="I6" s="4" t="n">
        <v>46</v>
      </c>
      <c r="J6" s="4" t="n">
        <v>12</v>
      </c>
      <c r="K6" s="4" t="n">
        <v>24</v>
      </c>
      <c r="L6" s="4" t="n">
        <v>56</v>
      </c>
      <c r="M6" s="4" t="n">
        <v>10</v>
      </c>
      <c r="N6" s="4" t="n">
        <v>16</v>
      </c>
      <c r="O6" s="4" t="n">
        <v>13</v>
      </c>
      <c r="P6" s="4" t="n">
        <v>12</v>
      </c>
      <c r="Q6" s="5">
        <f>D6*SUM(E6:P6)</f>
        <v/>
      </c>
    </row>
    <row r="7">
      <c r="A7" s="4" t="n">
        <v>3</v>
      </c>
      <c r="B7" s="4" t="inlineStr">
        <is>
          <t>Трубзавод 3</t>
        </is>
      </c>
      <c r="C7" s="4" t="n">
        <v>55</v>
      </c>
      <c r="D7" s="4" t="n">
        <v>85000</v>
      </c>
      <c r="E7" s="4" t="n">
        <v>14</v>
      </c>
      <c r="F7" s="4" t="n">
        <v>23</v>
      </c>
      <c r="G7" s="4" t="n">
        <v>15</v>
      </c>
      <c r="H7" s="4" t="n">
        <v>17</v>
      </c>
      <c r="I7" s="4" t="n">
        <v>27</v>
      </c>
      <c r="J7" s="4" t="n">
        <v>11</v>
      </c>
      <c r="K7" s="4" t="n">
        <v>16</v>
      </c>
      <c r="L7" s="4" t="n">
        <v>11</v>
      </c>
      <c r="M7" s="4" t="n">
        <v>10</v>
      </c>
      <c r="N7" s="4" t="n">
        <v>20</v>
      </c>
      <c r="O7" s="4" t="n">
        <v>22</v>
      </c>
      <c r="P7" s="4" t="n">
        <v>26</v>
      </c>
      <c r="Q7" s="5">
        <f>D7*SUM(E7:P7)</f>
        <v/>
      </c>
    </row>
  </sheetData>
  <mergeCells count="7">
    <mergeCell ref="C3:C4"/>
    <mergeCell ref="B3:B4"/>
    <mergeCell ref="A3:A4"/>
    <mergeCell ref="Q3:Q4"/>
    <mergeCell ref="D3:D4"/>
    <mergeCell ref="E3:P3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0" customWidth="1" min="4" max="4"/>
    <col width="18" customWidth="1" min="5" max="5"/>
    <col width="18" customWidth="1" min="6" max="6"/>
  </cols>
  <sheetData>
    <row r="1">
      <c r="A1" s="3" t="inlineStr"/>
      <c r="B1" s="3" t="inlineStr">
        <is>
          <t>Москва</t>
        </is>
      </c>
      <c r="C1" s="3" t="inlineStr">
        <is>
          <t>Санкт-Петербург</t>
        </is>
      </c>
      <c r="D1" s="3" t="inlineStr">
        <is>
          <t>Казань</t>
        </is>
      </c>
      <c r="E1" s="3" t="inlineStr">
        <is>
          <t>Минимальная цена</t>
        </is>
      </c>
      <c r="F1" s="3" t="inlineStr">
        <is>
          <t>Максимальная цена</t>
        </is>
      </c>
    </row>
    <row r="2">
      <c r="A2" s="13" t="inlineStr">
        <is>
          <t>Автобус</t>
        </is>
      </c>
      <c r="B2" s="4" t="n">
        <v>26</v>
      </c>
      <c r="C2" s="4" t="n">
        <v>24</v>
      </c>
      <c r="D2" s="4" t="n">
        <v>16</v>
      </c>
      <c r="E2" s="4">
        <f>MIN(B2:D2)</f>
        <v/>
      </c>
      <c r="F2" s="4">
        <f>MAX(B2:D2)</f>
        <v/>
      </c>
    </row>
    <row r="3">
      <c r="A3" s="13" t="inlineStr">
        <is>
          <t>Троллейбус</t>
        </is>
      </c>
      <c r="B3" s="4" t="n">
        <v>23</v>
      </c>
      <c r="C3" s="4" t="n">
        <v>20</v>
      </c>
      <c r="D3" s="4" t="n">
        <v>12</v>
      </c>
      <c r="E3" s="4">
        <f>MIN(B3:D3)</f>
        <v/>
      </c>
      <c r="F3" s="4">
        <f>MAX(B3:D3)</f>
        <v/>
      </c>
    </row>
    <row r="4">
      <c r="A4" s="13" t="inlineStr">
        <is>
          <t>Трамвай</t>
        </is>
      </c>
      <c r="B4" s="4" t="n">
        <v>20</v>
      </c>
      <c r="C4" s="4" t="n">
        <v>18</v>
      </c>
      <c r="D4" s="4" t="n">
        <v>12</v>
      </c>
      <c r="E4" s="4">
        <f>MIN(B4:D4)</f>
        <v/>
      </c>
      <c r="F4" s="4">
        <f>MAX(B4:D4)</f>
        <v/>
      </c>
    </row>
    <row r="5">
      <c r="A5" s="13" t="inlineStr">
        <is>
          <t>Метро</t>
        </is>
      </c>
      <c r="B5" s="4" t="n">
        <v>30</v>
      </c>
      <c r="C5" s="4" t="n">
        <v>22</v>
      </c>
      <c r="D5" s="4" t="n">
        <v>18</v>
      </c>
      <c r="E5" s="4">
        <f>MIN(B5:D5)</f>
        <v/>
      </c>
      <c r="F5" s="4">
        <f>MAX(B5:D5)</f>
        <v/>
      </c>
    </row>
    <row r="6">
      <c r="A6" s="4" t="inlineStr">
        <is>
          <t>Средняя цена за одну поездку в трех городах</t>
        </is>
      </c>
      <c r="B6" s="4" t="n"/>
      <c r="C6" s="4" t="n"/>
      <c r="D6" s="14">
        <f>AVERAGE(B2:D5)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1" customWidth="1" min="5" max="5"/>
    <col width="16" customWidth="1" min="6" max="6"/>
    <col width="8" customWidth="1" min="7" max="7"/>
  </cols>
  <sheetData>
    <row r="1" ht="30" customHeight="1">
      <c r="A1" s="15" t="inlineStr">
        <is>
          <t>Фамилия</t>
        </is>
      </c>
      <c r="B1" s="15" t="inlineStr">
        <is>
          <t>Количество баллов за экзамен</t>
        </is>
      </c>
      <c r="C1" s="15" t="n"/>
      <c r="D1" s="15" t="n"/>
      <c r="E1" s="15" t="inlineStr">
        <is>
          <t>проходной балл</t>
        </is>
      </c>
      <c r="F1" s="15" t="n"/>
      <c r="G1" s="15" t="n"/>
    </row>
    <row r="2">
      <c r="A2" s="15" t="n"/>
      <c r="B2" s="15" t="inlineStr">
        <is>
          <t>русский язык</t>
        </is>
      </c>
      <c r="C2" s="15" t="inlineStr">
        <is>
          <t>математика</t>
        </is>
      </c>
      <c r="D2" s="15" t="inlineStr">
        <is>
          <t>физика</t>
        </is>
      </c>
      <c r="E2" s="15" t="n">
        <v>194</v>
      </c>
      <c r="F2" s="15" t="n"/>
      <c r="G2" s="15" t="n"/>
    </row>
    <row r="3">
      <c r="A3" s="16" t="inlineStr">
        <is>
          <t>Смирнов</t>
        </is>
      </c>
      <c r="B3" s="16" t="n">
        <v>81</v>
      </c>
      <c r="C3" s="16" t="n">
        <v>66</v>
      </c>
      <c r="D3" s="16" t="n">
        <v>59</v>
      </c>
      <c r="E3" s="16" t="n"/>
      <c r="F3" s="16">
        <f>IF(SUM(B3:D3)&gt;=$E$2,"рекомендован","резерв")</f>
        <v/>
      </c>
      <c r="G3" s="16">
        <f>IF(F3="рекомендован",1,0)</f>
        <v/>
      </c>
    </row>
    <row r="4">
      <c r="A4" s="16" t="inlineStr">
        <is>
          <t>Иванов</t>
        </is>
      </c>
      <c r="B4" s="16" t="n">
        <v>52</v>
      </c>
      <c r="C4" s="16" t="n">
        <v>73</v>
      </c>
      <c r="D4" s="16" t="n">
        <v>47</v>
      </c>
      <c r="E4" s="16" t="n"/>
      <c r="F4" s="16">
        <f>IF(SUM(B4:D4)&gt;=$E$2,"рекомендован","резерв")</f>
        <v/>
      </c>
      <c r="G4" s="16">
        <f>IF(F4="рекомендован",1,0)</f>
        <v/>
      </c>
    </row>
    <row r="5">
      <c r="A5" s="16" t="inlineStr">
        <is>
          <t>Кузнецов</t>
        </is>
      </c>
      <c r="B5" s="16" t="n">
        <v>90</v>
      </c>
      <c r="C5" s="16" t="n">
        <v>76</v>
      </c>
      <c r="D5" s="16" t="n">
        <v>69</v>
      </c>
      <c r="E5" s="16" t="n"/>
      <c r="F5" s="16">
        <f>IF(SUM(B5:D5)&gt;=$E$2,"рекомендован","резерв")</f>
        <v/>
      </c>
      <c r="G5" s="16">
        <f>IF(F5="рекомендован",1,0)</f>
        <v/>
      </c>
    </row>
    <row r="6">
      <c r="A6" s="16" t="inlineStr">
        <is>
          <t>Соколов</t>
        </is>
      </c>
      <c r="B6" s="16" t="n">
        <v>65</v>
      </c>
      <c r="C6" s="16" t="n">
        <v>71</v>
      </c>
      <c r="D6" s="16" t="n">
        <v>88</v>
      </c>
      <c r="E6" s="16" t="n"/>
      <c r="F6" s="16">
        <f>IF(SUM(B6:D6)&gt;=$E$2,"рекомендован","резерв")</f>
        <v/>
      </c>
      <c r="G6" s="16">
        <f>IF(F6="рекомендован",1,0)</f>
        <v/>
      </c>
    </row>
    <row r="7">
      <c r="A7" s="16" t="inlineStr">
        <is>
          <t>Попов</t>
        </is>
      </c>
      <c r="B7" s="16" t="n">
        <v>65</v>
      </c>
      <c r="C7" s="16" t="n">
        <v>73</v>
      </c>
      <c r="D7" s="16" t="n">
        <v>56</v>
      </c>
      <c r="E7" s="16" t="n"/>
      <c r="F7" s="16">
        <f>IF(SUM(B7:D7)&gt;=$E$2,"рекомендован","резерв")</f>
        <v/>
      </c>
      <c r="G7" s="16">
        <f>IF(F7="рекомендован",1,0)</f>
        <v/>
      </c>
    </row>
    <row r="8">
      <c r="F8" s="6" t="inlineStr">
        <is>
          <t>Количество:</t>
        </is>
      </c>
      <c r="G8" s="6">
        <f>SUM(G3:G7)</f>
        <v/>
      </c>
    </row>
  </sheetData>
  <mergeCells count="2">
    <mergeCell ref="B1:D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5" max="5"/>
  </cols>
  <sheetData>
    <row r="1">
      <c r="A1" s="3" t="inlineStr">
        <is>
          <t>имя</t>
        </is>
      </c>
      <c r="B1" s="3" t="inlineStr">
        <is>
          <t>год</t>
        </is>
      </c>
      <c r="C1" s="3" t="inlineStr">
        <is>
          <t>рост</t>
        </is>
      </c>
      <c r="E1" s="2" t="inlineStr">
        <is>
          <t>Консолидация (рост по годам)</t>
        </is>
      </c>
    </row>
    <row r="2">
      <c r="A2" s="4" t="inlineStr">
        <is>
          <t>Василий</t>
        </is>
      </c>
      <c r="B2" s="4" t="n">
        <v>93</v>
      </c>
      <c r="C2" s="4" t="n">
        <v>165</v>
      </c>
      <c r="E2" s="3" t="n"/>
      <c r="F2" s="17" t="n">
        <v>93</v>
      </c>
      <c r="G2" s="17" t="n">
        <v>94</v>
      </c>
      <c r="H2" s="17" t="n">
        <v>95</v>
      </c>
      <c r="I2" s="17" t="n">
        <v>96</v>
      </c>
    </row>
    <row r="3">
      <c r="A3" s="4" t="inlineStr">
        <is>
          <t>Василий</t>
        </is>
      </c>
      <c r="B3" s="4" t="n">
        <v>94</v>
      </c>
      <c r="C3" s="4" t="n">
        <v>169</v>
      </c>
      <c r="E3" s="6" t="inlineStr">
        <is>
          <t>Василий</t>
        </is>
      </c>
      <c r="F3" s="4">
        <f>SUMIFS($C$2:$C$9,$A$2:$A$9,$E3,$B$2:$B$9,F$2)</f>
        <v/>
      </c>
      <c r="G3" s="4">
        <f>SUMIFS($C$2:$C$9,$A$2:$A$9,$E3,$B$2:$B$9,G$2)</f>
        <v/>
      </c>
      <c r="H3" s="4">
        <f>SUMIFS($C$2:$C$9,$A$2:$A$9,$E3,$B$2:$B$9,H$2)</f>
        <v/>
      </c>
      <c r="I3" s="4">
        <f>SUMIFS($C$2:$C$9,$A$2:$A$9,$E3,$B$2:$B$9,I$2)</f>
        <v/>
      </c>
    </row>
    <row r="4">
      <c r="A4" s="4" t="inlineStr">
        <is>
          <t>Илья</t>
        </is>
      </c>
      <c r="B4" s="4" t="n">
        <v>93</v>
      </c>
      <c r="C4" s="4" t="n">
        <v>157</v>
      </c>
      <c r="E4" s="6" t="inlineStr">
        <is>
          <t>Илья</t>
        </is>
      </c>
      <c r="F4" s="4">
        <f>SUMIFS($C$2:$C$9,$A$2:$A$9,$E4,$B$2:$B$9,F$2)</f>
        <v/>
      </c>
      <c r="G4" s="4">
        <f>SUMIFS($C$2:$C$9,$A$2:$A$9,$E4,$B$2:$B$9,G$2)</f>
        <v/>
      </c>
      <c r="H4" s="4">
        <f>SUMIFS($C$2:$C$9,$A$2:$A$9,$E4,$B$2:$B$9,H$2)</f>
        <v/>
      </c>
      <c r="I4" s="4">
        <f>SUMIFS($C$2:$C$9,$A$2:$A$9,$E4,$B$2:$B$9,I$2)</f>
        <v/>
      </c>
    </row>
    <row r="5">
      <c r="A5" s="4" t="inlineStr">
        <is>
          <t>Василий</t>
        </is>
      </c>
      <c r="B5" s="4" t="n">
        <v>95</v>
      </c>
      <c r="C5" s="4" t="n">
        <v>170</v>
      </c>
    </row>
    <row r="6">
      <c r="A6" s="4" t="inlineStr">
        <is>
          <t>Илья</t>
        </is>
      </c>
      <c r="B6" s="4" t="n">
        <v>94</v>
      </c>
      <c r="C6" s="4" t="n">
        <v>160</v>
      </c>
    </row>
    <row r="7">
      <c r="A7" s="4" t="inlineStr">
        <is>
          <t>Илья</t>
        </is>
      </c>
      <c r="B7" s="4" t="n">
        <v>95</v>
      </c>
      <c r="C7" s="4" t="n">
        <v>163</v>
      </c>
    </row>
    <row r="8">
      <c r="A8" s="4" t="inlineStr">
        <is>
          <t>Василий</t>
        </is>
      </c>
      <c r="B8" s="4" t="n">
        <v>96</v>
      </c>
      <c r="C8" s="4" t="n">
        <v>174</v>
      </c>
    </row>
    <row r="9">
      <c r="A9" s="4" t="inlineStr">
        <is>
          <t>Илья</t>
        </is>
      </c>
      <c r="B9" s="4" t="n">
        <v>96</v>
      </c>
      <c r="C9" s="4" t="n">
        <v>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9" customWidth="1" min="4" max="4"/>
  </cols>
  <sheetData>
    <row r="1">
      <c r="A1" s="3" t="inlineStr">
        <is>
          <t>№ для подсчета</t>
        </is>
      </c>
      <c r="B1" s="3" t="inlineStr">
        <is>
          <t>Ф.И.О.</t>
        </is>
      </c>
      <c r="C1" s="3" t="inlineStr">
        <is>
          <t>год рождения</t>
        </is>
      </c>
      <c r="D1" s="3" t="inlineStr">
        <is>
          <t>группа</t>
        </is>
      </c>
    </row>
    <row r="2">
      <c r="A2" s="6" t="n">
        <v>1</v>
      </c>
      <c r="B2" s="4" t="inlineStr">
        <is>
          <t>Афанасьев Александр</t>
        </is>
      </c>
      <c r="C2" s="4" t="n">
        <v>90</v>
      </c>
      <c r="D2" s="4" t="n">
        <v>903</v>
      </c>
    </row>
    <row r="3">
      <c r="A3" s="6" t="n">
        <v>1</v>
      </c>
      <c r="B3" s="4" t="inlineStr">
        <is>
          <t>Авдеев Олег</t>
        </is>
      </c>
      <c r="C3" s="4" t="n">
        <v>90</v>
      </c>
      <c r="D3" s="4" t="n">
        <v>903</v>
      </c>
    </row>
    <row r="4">
      <c r="A4" s="6" t="n">
        <v>1</v>
      </c>
      <c r="B4" s="4" t="inlineStr">
        <is>
          <t>Калмыков Илья</t>
        </is>
      </c>
      <c r="C4" s="4" t="n">
        <v>90</v>
      </c>
      <c r="D4" s="4" t="n">
        <v>903</v>
      </c>
    </row>
    <row r="5">
      <c r="A5" s="6" t="n">
        <v>1</v>
      </c>
      <c r="B5" s="4" t="inlineStr">
        <is>
          <t>Марфина Галия</t>
        </is>
      </c>
      <c r="C5" s="4" t="n">
        <v>90</v>
      </c>
      <c r="D5" s="4" t="n">
        <v>905</v>
      </c>
    </row>
    <row r="6">
      <c r="A6" s="6" t="n">
        <v>1</v>
      </c>
      <c r="B6" s="4" t="inlineStr">
        <is>
          <t>Киселев Сергей</t>
        </is>
      </c>
      <c r="C6" s="4" t="n">
        <v>91</v>
      </c>
      <c r="D6" s="4" t="n">
        <v>904</v>
      </c>
    </row>
    <row r="7">
      <c r="A7" s="6" t="n">
        <v>1</v>
      </c>
      <c r="B7" s="4" t="inlineStr">
        <is>
          <t>Гайсин Ринат</t>
        </is>
      </c>
      <c r="C7" s="4" t="n">
        <v>91</v>
      </c>
      <c r="D7" s="4" t="n">
        <v>904</v>
      </c>
    </row>
    <row r="8">
      <c r="A8" s="6" t="n">
        <v>1</v>
      </c>
      <c r="B8" s="4" t="inlineStr">
        <is>
          <t>Красильникова Евгения</t>
        </is>
      </c>
      <c r="C8" s="4" t="n">
        <v>91</v>
      </c>
      <c r="D8" s="4" t="n">
        <v>904</v>
      </c>
    </row>
    <row r="9">
      <c r="A9" s="6" t="n">
        <v>1</v>
      </c>
      <c r="B9" s="4" t="inlineStr">
        <is>
          <t>Григорьева Елена</t>
        </is>
      </c>
      <c r="C9" s="4" t="n">
        <v>91</v>
      </c>
      <c r="D9" s="4" t="n">
        <v>905</v>
      </c>
    </row>
    <row r="10">
      <c r="A10" s="6" t="n">
        <v>1</v>
      </c>
      <c r="B10" s="4" t="inlineStr">
        <is>
          <t>Салихова Наиля</t>
        </is>
      </c>
      <c r="C10" s="4" t="n">
        <v>92</v>
      </c>
      <c r="D10" s="4" t="n">
        <v>903</v>
      </c>
    </row>
    <row r="11">
      <c r="A11" s="6" t="n">
        <v>1</v>
      </c>
      <c r="B11" s="4" t="inlineStr">
        <is>
          <t>Матвеев Максим</t>
        </is>
      </c>
      <c r="C11" s="4" t="n">
        <v>92</v>
      </c>
      <c r="D11" s="4" t="n">
        <v>904</v>
      </c>
    </row>
    <row r="12">
      <c r="A12" s="6" t="n">
        <v>1</v>
      </c>
      <c r="B12" s="4" t="inlineStr">
        <is>
          <t>Александрова Анастасия</t>
        </is>
      </c>
      <c r="C12" s="4" t="n">
        <v>92</v>
      </c>
      <c r="D12" s="4" t="n">
        <v>904</v>
      </c>
    </row>
    <row r="13">
      <c r="A13" s="6" t="n">
        <v>1</v>
      </c>
      <c r="B13" s="4" t="inlineStr">
        <is>
          <t>Журавлева Анастасия</t>
        </is>
      </c>
      <c r="C13" s="4" t="n">
        <v>92</v>
      </c>
      <c r="D13" s="4" t="n">
        <v>904</v>
      </c>
    </row>
    <row r="14">
      <c r="A14" s="6" t="n">
        <v>1</v>
      </c>
      <c r="B14" s="4" t="inlineStr">
        <is>
          <t>Шахова Ирина</t>
        </is>
      </c>
      <c r="C14" s="4" t="n">
        <v>92</v>
      </c>
      <c r="D14" s="4" t="n">
        <v>905</v>
      </c>
    </row>
    <row r="15">
      <c r="A15" s="6" t="n">
        <v>1</v>
      </c>
      <c r="B15" s="4" t="inlineStr">
        <is>
          <t>Гадельшин Олег</t>
        </is>
      </c>
      <c r="C15" s="4" t="n">
        <v>92</v>
      </c>
      <c r="D15" s="4" t="n">
        <v>905</v>
      </c>
    </row>
    <row r="16">
      <c r="A16" s="6" t="n">
        <v>1</v>
      </c>
      <c r="B16" s="4" t="inlineStr">
        <is>
          <t>Кондратьева Раиса</t>
        </is>
      </c>
      <c r="C16" s="4" t="n">
        <v>93</v>
      </c>
      <c r="D16" s="4" t="n">
        <v>903</v>
      </c>
    </row>
    <row r="17">
      <c r="A17" s="6" t="n">
        <v>1</v>
      </c>
      <c r="B17" s="4" t="inlineStr">
        <is>
          <t>Фаракшин Ильшат</t>
        </is>
      </c>
      <c r="C17" s="4" t="n">
        <v>93</v>
      </c>
      <c r="D17" s="4" t="n">
        <v>904</v>
      </c>
    </row>
    <row r="18">
      <c r="A18" s="6" t="n">
        <v>1</v>
      </c>
      <c r="B18" s="4" t="inlineStr">
        <is>
          <t>Смирнова Юлия</t>
        </is>
      </c>
      <c r="C18" s="4" t="n">
        <v>93</v>
      </c>
      <c r="D18" s="4" t="n">
        <v>905</v>
      </c>
    </row>
    <row r="19">
      <c r="A19" s="6" t="n">
        <v>1</v>
      </c>
      <c r="B19" s="4" t="inlineStr">
        <is>
          <t>Латыпова Алина</t>
        </is>
      </c>
      <c r="C19" s="4" t="n">
        <v>93</v>
      </c>
      <c r="D19" s="4" t="n">
        <v>905</v>
      </c>
    </row>
    <row r="20">
      <c r="A20" s="6" t="n">
        <v>1</v>
      </c>
      <c r="B20" s="4" t="inlineStr">
        <is>
          <t>Пономарева Анастасия</t>
        </is>
      </c>
      <c r="C20" s="4" t="n">
        <v>94</v>
      </c>
      <c r="D20" s="4" t="n">
        <v>903</v>
      </c>
    </row>
    <row r="21">
      <c r="A21" s="6" t="n">
        <v>1</v>
      </c>
      <c r="B21" s="4" t="inlineStr">
        <is>
          <t>Дегтярёва Ксения</t>
        </is>
      </c>
      <c r="C21" s="4" t="n">
        <v>94</v>
      </c>
      <c r="D21" s="4" t="n">
        <v>904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4" t="n"/>
      <c r="B1" s="6" t="n">
        <v>90</v>
      </c>
      <c r="C1" s="6" t="n">
        <v>91</v>
      </c>
      <c r="D1" s="6" t="n">
        <v>92</v>
      </c>
      <c r="E1" s="6" t="n">
        <v>93</v>
      </c>
      <c r="F1" s="6" t="n">
        <v>94</v>
      </c>
    </row>
    <row r="2">
      <c r="A2" s="6" t="n">
        <v>903</v>
      </c>
      <c r="B2" s="18">
        <f>SUMIFS('5.2 Список студентов'!$A$2:$A$21,'5.2 Список студентов'!$C$2:$C$21,B$1,'5.2 Список студентов'!$D$2:$D$21,$A2)</f>
        <v/>
      </c>
      <c r="C2" s="18">
        <f>SUMIFS('5.2 Список студентов'!$A$2:$A$21,'5.2 Список студентов'!$C$2:$C$21,C$1,'5.2 Список студентов'!$D$2:$D$21,$A2)</f>
        <v/>
      </c>
      <c r="D2" s="18">
        <f>SUMIFS('5.2 Список студентов'!$A$2:$A$21,'5.2 Список студентов'!$C$2:$C$21,D$1,'5.2 Список студентов'!$D$2:$D$21,$A2)</f>
        <v/>
      </c>
      <c r="E2" s="18">
        <f>SUMIFS('5.2 Список студентов'!$A$2:$A$21,'5.2 Список студентов'!$C$2:$C$21,E$1,'5.2 Список студентов'!$D$2:$D$21,$A2)</f>
        <v/>
      </c>
      <c r="F2" s="18">
        <f>SUMIFS('5.2 Список студентов'!$A$2:$A$21,'5.2 Список студентов'!$C$2:$C$21,F$1,'5.2 Список студентов'!$D$2:$D$21,$A2)</f>
        <v/>
      </c>
    </row>
    <row r="3">
      <c r="A3" s="6" t="n">
        <v>904</v>
      </c>
      <c r="B3" s="18">
        <f>SUMIFS('5.2 Список студентов'!$A$2:$A$21,'5.2 Список студентов'!$C$2:$C$21,B$1,'5.2 Список студентов'!$D$2:$D$21,$A3)</f>
        <v/>
      </c>
      <c r="C3" s="18">
        <f>SUMIFS('5.2 Список студентов'!$A$2:$A$21,'5.2 Список студентов'!$C$2:$C$21,C$1,'5.2 Список студентов'!$D$2:$D$21,$A3)</f>
        <v/>
      </c>
      <c r="D3" s="18">
        <f>SUMIFS('5.2 Список студентов'!$A$2:$A$21,'5.2 Список студентов'!$C$2:$C$21,D$1,'5.2 Список студентов'!$D$2:$D$21,$A3)</f>
        <v/>
      </c>
      <c r="E3" s="18">
        <f>SUMIFS('5.2 Список студентов'!$A$2:$A$21,'5.2 Список студентов'!$C$2:$C$21,E$1,'5.2 Список студентов'!$D$2:$D$21,$A3)</f>
        <v/>
      </c>
      <c r="F3" s="18">
        <f>SUMIFS('5.2 Список студентов'!$A$2:$A$21,'5.2 Список студентов'!$C$2:$C$21,F$1,'5.2 Список студентов'!$D$2:$D$21,$A3)</f>
        <v/>
      </c>
    </row>
    <row r="4">
      <c r="A4" s="6" t="n">
        <v>905</v>
      </c>
      <c r="B4" s="18">
        <f>SUMIFS('5.2 Список студентов'!$A$2:$A$21,'5.2 Список студентов'!$C$2:$C$21,B$1,'5.2 Список студентов'!$D$2:$D$21,$A4)</f>
        <v/>
      </c>
      <c r="C4" s="18">
        <f>SUMIFS('5.2 Список студентов'!$A$2:$A$21,'5.2 Список студентов'!$C$2:$C$21,C$1,'5.2 Список студентов'!$D$2:$D$21,$A4)</f>
        <v/>
      </c>
      <c r="D4" s="18">
        <f>SUMIFS('5.2 Список студентов'!$A$2:$A$21,'5.2 Список студентов'!$C$2:$C$21,D$1,'5.2 Список студентов'!$D$2:$D$21,$A4)</f>
        <v/>
      </c>
      <c r="E4" s="18">
        <f>SUMIFS('5.2 Список студентов'!$A$2:$A$21,'5.2 Список студентов'!$C$2:$C$21,E$1,'5.2 Список студентов'!$D$2:$D$21,$A4)</f>
        <v/>
      </c>
      <c r="F4" s="18">
        <f>SUMIFS('5.2 Список студентов'!$A$2:$A$21,'5.2 Список студентов'!$C$2:$C$21,F$1,'5.2 Список студентов'!$D$2:$D$21,$A4)</f>
        <v/>
      </c>
    </row>
    <row r="6">
      <c r="A6" s="11" t="inlineStr">
        <is>
          <t>В тетради предлагалось суммировать ячейки трёхмерными ссылками; здесь то же самое сделано через СУММЕСЛИМН по списку.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5" customWidth="1" min="4" max="4"/>
    <col width="19" customWidth="1" min="5" max="5"/>
    <col width="8" customWidth="1" min="6" max="6"/>
  </cols>
  <sheetData>
    <row r="1">
      <c r="A1" s="10" t="inlineStr">
        <is>
          <t>РОССИЙСКАЯ ФУТБОЛЬНАЯ ПРЕМЬЕР ЛИГА</t>
        </is>
      </c>
    </row>
    <row r="2">
      <c r="A2" s="19" t="inlineStr">
        <is>
          <t>Команда</t>
        </is>
      </c>
      <c r="B2" s="19" t="inlineStr">
        <is>
          <t>Город</t>
        </is>
      </c>
      <c r="C2" s="19" t="inlineStr">
        <is>
          <t>Главный тренер</t>
        </is>
      </c>
      <c r="D2" s="19" t="inlineStr">
        <is>
          <t>Бюджет (Млн. $)</t>
        </is>
      </c>
      <c r="E2" s="19" t="inlineStr">
        <is>
          <t>Коэффициент УЕФА</t>
        </is>
      </c>
      <c r="F2" s="19" t="inlineStr">
        <is>
          <t>Место</t>
        </is>
      </c>
    </row>
    <row r="3">
      <c r="A3" s="4" t="inlineStr">
        <is>
          <t>Зенит</t>
        </is>
      </c>
      <c r="B3" s="4" t="inlineStr">
        <is>
          <t>Санкт-Петербург</t>
        </is>
      </c>
      <c r="C3" s="4" t="inlineStr">
        <is>
          <t>Лучиано Спаллетти</t>
        </is>
      </c>
      <c r="D3" s="4" t="n">
        <v>102</v>
      </c>
      <c r="E3" s="20" t="n">
        <v>60.941</v>
      </c>
      <c r="F3" s="4" t="n">
        <v>1</v>
      </c>
    </row>
    <row r="4">
      <c r="A4" s="4" t="inlineStr">
        <is>
          <t>ЦСКА</t>
        </is>
      </c>
      <c r="B4" s="4" t="inlineStr">
        <is>
          <t>Москва</t>
        </is>
      </c>
      <c r="C4" s="4" t="inlineStr">
        <is>
          <t>Леонид Слуцкий</t>
        </is>
      </c>
      <c r="D4" s="4" t="n">
        <v>70</v>
      </c>
      <c r="E4" s="20" t="n">
        <v>73.941</v>
      </c>
      <c r="F4" s="4" t="n">
        <v>2</v>
      </c>
    </row>
    <row r="5">
      <c r="A5" s="4" t="inlineStr">
        <is>
          <t>Рубин</t>
        </is>
      </c>
      <c r="B5" s="4" t="inlineStr">
        <is>
          <t>Казань</t>
        </is>
      </c>
      <c r="C5" s="4" t="inlineStr">
        <is>
          <t>Курбан Бердыев</t>
        </is>
      </c>
      <c r="D5" s="4" t="n">
        <v>68</v>
      </c>
      <c r="E5" s="20" t="n">
        <v>31.941</v>
      </c>
      <c r="F5" s="4" t="n">
        <v>6</v>
      </c>
    </row>
    <row r="6">
      <c r="A6" s="4" t="inlineStr">
        <is>
          <t>Спартак</t>
        </is>
      </c>
      <c r="B6" s="4" t="inlineStr">
        <is>
          <t>Москва</t>
        </is>
      </c>
      <c r="C6" s="4" t="inlineStr">
        <is>
          <t>Валерий Карпин</t>
        </is>
      </c>
      <c r="D6" s="4" t="n">
        <v>85</v>
      </c>
      <c r="E6" s="20" t="n">
        <v>51.941</v>
      </c>
      <c r="F6" s="4" t="n">
        <v>5</v>
      </c>
    </row>
    <row r="7">
      <c r="A7" s="4" t="inlineStr">
        <is>
          <t>Локомотив</t>
        </is>
      </c>
      <c r="B7" s="4" t="inlineStr">
        <is>
          <t>Москва</t>
        </is>
      </c>
      <c r="C7" s="4" t="inlineStr">
        <is>
          <t>Жозе Коусейру</t>
        </is>
      </c>
      <c r="D7" s="4" t="n">
        <v>90</v>
      </c>
      <c r="E7" s="20" t="n">
        <v>18.441</v>
      </c>
      <c r="F7" s="4" t="n">
        <v>3</v>
      </c>
    </row>
    <row r="8">
      <c r="A8" s="4" t="inlineStr">
        <is>
          <t>Спартак Н</t>
        </is>
      </c>
      <c r="B8" s="4" t="inlineStr">
        <is>
          <t>Нальчик</t>
        </is>
      </c>
      <c r="C8" s="4" t="inlineStr">
        <is>
          <t>Сергей Ташуев</t>
        </is>
      </c>
      <c r="D8" s="4" t="n">
        <v>15</v>
      </c>
      <c r="E8" s="20" t="n">
        <v>8.941000000000001</v>
      </c>
      <c r="F8" s="4" t="n">
        <v>16</v>
      </c>
    </row>
    <row r="9">
      <c r="A9" s="4" t="inlineStr">
        <is>
          <t>Динамо</t>
        </is>
      </c>
      <c r="B9" s="4" t="inlineStr">
        <is>
          <t>Москва</t>
        </is>
      </c>
      <c r="C9" s="4" t="inlineStr">
        <is>
          <t>Сергей Силкин</t>
        </is>
      </c>
      <c r="D9" s="4" t="n">
        <v>80</v>
      </c>
      <c r="E9" s="20" t="n">
        <v>10.441</v>
      </c>
      <c r="F9" s="4" t="n">
        <v>4</v>
      </c>
    </row>
    <row r="10">
      <c r="A10" s="4" t="inlineStr">
        <is>
          <t>Томь</t>
        </is>
      </c>
      <c r="B10" s="4" t="inlineStr">
        <is>
          <t>Томск</t>
        </is>
      </c>
      <c r="C10" s="4" t="inlineStr">
        <is>
          <t>Сергей Передня</t>
        </is>
      </c>
      <c r="D10" s="4" t="n">
        <v>28</v>
      </c>
      <c r="E10" s="20" t="n">
        <v>3.624</v>
      </c>
      <c r="F10" s="4" t="n">
        <v>15</v>
      </c>
    </row>
    <row r="11">
      <c r="A11" s="4" t="inlineStr">
        <is>
          <t>Ростов</t>
        </is>
      </c>
      <c r="B11" s="4" t="inlineStr">
        <is>
          <t>Ростов-на-Дону</t>
        </is>
      </c>
      <c r="C11" s="4" t="inlineStr">
        <is>
          <t>Сергей Балахнин</t>
        </is>
      </c>
      <c r="D11" s="4" t="n">
        <v>28</v>
      </c>
      <c r="E11" s="20" t="n">
        <v>2.899</v>
      </c>
      <c r="F11" s="4" t="n">
        <v>11</v>
      </c>
    </row>
    <row r="12">
      <c r="A12" s="4" t="inlineStr">
        <is>
          <t>Анжи</t>
        </is>
      </c>
      <c r="B12" s="4" t="inlineStr">
        <is>
          <t>Махачкала</t>
        </is>
      </c>
      <c r="C12" s="4" t="inlineStr">
        <is>
          <t>Гус Хиддинк</t>
        </is>
      </c>
      <c r="D12" s="4" t="n">
        <v>125</v>
      </c>
      <c r="E12" s="20" t="n">
        <v>2.875</v>
      </c>
      <c r="F12" s="4" t="n">
        <v>7</v>
      </c>
    </row>
    <row r="13">
      <c r="A13" s="4" t="inlineStr">
        <is>
          <t>Краснодар</t>
        </is>
      </c>
      <c r="B13" s="4" t="inlineStr">
        <is>
          <t>Краснодар</t>
        </is>
      </c>
      <c r="C13" s="4" t="inlineStr">
        <is>
          <t>Славолюб Муслин</t>
        </is>
      </c>
      <c r="D13" s="4" t="n">
        <v>40</v>
      </c>
      <c r="E13" s="20" t="n">
        <v>2.887</v>
      </c>
      <c r="F13" s="4" t="n">
        <v>9</v>
      </c>
    </row>
    <row r="14">
      <c r="A14" s="4" t="inlineStr">
        <is>
          <t>Терек</t>
        </is>
      </c>
      <c r="B14" s="4" t="inlineStr">
        <is>
          <t>Грозный</t>
        </is>
      </c>
      <c r="C14" s="4" t="inlineStr">
        <is>
          <t>Станислав Черчесов</t>
        </is>
      </c>
      <c r="D14" s="4" t="n">
        <v>50</v>
      </c>
      <c r="E14" s="20" t="n">
        <v>1.004</v>
      </c>
      <c r="F14" s="4" t="n">
        <v>12</v>
      </c>
    </row>
    <row r="15">
      <c r="A15" s="4" t="inlineStr">
        <is>
          <t>Крылья Советов</t>
        </is>
      </c>
      <c r="B15" s="4" t="inlineStr">
        <is>
          <t>Самара</t>
        </is>
      </c>
      <c r="C15" s="4" t="inlineStr">
        <is>
          <t>Андрей Кобелев</t>
        </is>
      </c>
      <c r="D15" s="4" t="n">
        <v>28</v>
      </c>
      <c r="E15" s="20" t="n">
        <v>9.941000000000001</v>
      </c>
      <c r="F15" s="4" t="n">
        <v>14</v>
      </c>
    </row>
    <row r="16">
      <c r="A16" s="4" t="inlineStr">
        <is>
          <t>Амкар</t>
        </is>
      </c>
      <c r="B16" s="4" t="inlineStr">
        <is>
          <t>Пермь</t>
        </is>
      </c>
      <c r="C16" s="4" t="inlineStr">
        <is>
          <t>Миодраг Божович</t>
        </is>
      </c>
      <c r="D16" s="4" t="n">
        <v>21</v>
      </c>
      <c r="E16" s="20" t="n">
        <v>10.441</v>
      </c>
      <c r="F16" s="4" t="n">
        <v>10</v>
      </c>
    </row>
    <row r="17">
      <c r="A17" s="4" t="inlineStr">
        <is>
          <t>Кубань</t>
        </is>
      </c>
      <c r="B17" s="4" t="inlineStr">
        <is>
          <t>Краснодар</t>
        </is>
      </c>
      <c r="C17" s="4" t="inlineStr">
        <is>
          <t>Дан Петреску</t>
        </is>
      </c>
      <c r="D17" s="4" t="n">
        <v>35</v>
      </c>
      <c r="E17" s="20" t="n">
        <v>9.941000000000001</v>
      </c>
      <c r="F17" s="4" t="n">
        <v>8</v>
      </c>
    </row>
    <row r="18">
      <c r="A18" s="4" t="inlineStr">
        <is>
          <t>Волга</t>
        </is>
      </c>
      <c r="B18" s="4" t="inlineStr">
        <is>
          <t>Нижний Новгород</t>
        </is>
      </c>
      <c r="C18" s="4" t="inlineStr">
        <is>
          <t>Дмитрий Черышев</t>
        </is>
      </c>
      <c r="D18" s="4" t="n">
        <v>32</v>
      </c>
      <c r="E18" s="20" t="n">
        <v>10.441</v>
      </c>
      <c r="F18" s="4" t="n">
        <v>13</v>
      </c>
    </row>
    <row r="21">
      <c r="A21" s="21" t="inlineStr">
        <is>
          <t>Поиск</t>
        </is>
      </c>
    </row>
    <row r="22">
      <c r="A22" s="4" t="inlineStr">
        <is>
          <t>Команда</t>
        </is>
      </c>
      <c r="B22" s="22" t="inlineStr">
        <is>
          <t>Локомотив</t>
        </is>
      </c>
      <c r="C22" s="22" t="n"/>
      <c r="E22" s="11" t="inlineStr">
        <is>
          <t>← выберите команду из списка</t>
        </is>
      </c>
    </row>
    <row r="23">
      <c r="A23" s="4" t="inlineStr">
        <is>
          <t>Город</t>
        </is>
      </c>
      <c r="B23" s="22">
        <f>VLOOKUP($B$22,$A$3:$F$18,2,FALSE)</f>
        <v/>
      </c>
      <c r="C23" s="22" t="n"/>
    </row>
    <row r="24">
      <c r="A24" s="4" t="inlineStr">
        <is>
          <t>Главный тренер</t>
        </is>
      </c>
      <c r="B24" s="22">
        <f>VLOOKUP($B$22,$A$3:$F$18,3,FALSE)</f>
        <v/>
      </c>
      <c r="C24" s="22" t="n"/>
    </row>
    <row r="25">
      <c r="A25" s="4" t="inlineStr">
        <is>
          <t>Бюджет (Млн. $)</t>
        </is>
      </c>
      <c r="B25" s="22">
        <f>VLOOKUP($B$22,$A$3:$F$18,4,FALSE)</f>
        <v/>
      </c>
      <c r="C25" s="22" t="n"/>
    </row>
    <row r="26">
      <c r="A26" s="4" t="inlineStr">
        <is>
          <t>Коэффициент УЕФА</t>
        </is>
      </c>
      <c r="B26" s="23">
        <f>VLOOKUP($B$22,$A$3:$F$18,5,FALSE)</f>
        <v/>
      </c>
      <c r="C26" s="22" t="n"/>
    </row>
    <row r="27">
      <c r="A27" s="4" t="inlineStr">
        <is>
          <t>Место</t>
        </is>
      </c>
      <c r="B27" s="22">
        <f>VLOOKUP($B$22,$A$3:$F$18,6,FALSE)</f>
        <v/>
      </c>
      <c r="C27" s="22" t="n"/>
    </row>
  </sheetData>
  <mergeCells count="8">
    <mergeCell ref="A21:B21"/>
    <mergeCell ref="B24:C24"/>
    <mergeCell ref="B25:C25"/>
    <mergeCell ref="A1:F1"/>
    <mergeCell ref="B23:C23"/>
    <mergeCell ref="B22:C22"/>
    <mergeCell ref="B26:C26"/>
    <mergeCell ref="B27:C27"/>
  </mergeCells>
  <dataValidations count="1">
    <dataValidation sqref="B22" showDropDown="0" showInputMessage="0" showErrorMessage="0" allowBlank="0" type="list">
      <formula1>=$A$3:$A$18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</cols>
  <sheetData>
    <row r="1">
      <c r="A1" s="3" t="inlineStr">
        <is>
          <t>Месяц</t>
        </is>
      </c>
      <c r="B1" s="3" t="inlineStr">
        <is>
          <t>Продано ноутбуков</t>
        </is>
      </c>
      <c r="C1" s="3" t="inlineStr">
        <is>
          <t>Продано настольных ПК</t>
        </is>
      </c>
    </row>
    <row r="2">
      <c r="A2" s="4" t="inlineStr">
        <is>
          <t>Январь</t>
        </is>
      </c>
      <c r="B2" s="4" t="n">
        <v>41</v>
      </c>
      <c r="C2" s="4" t="n">
        <v>52</v>
      </c>
    </row>
    <row r="3">
      <c r="A3" s="4" t="inlineStr">
        <is>
          <t>Февраль</t>
        </is>
      </c>
      <c r="B3" s="4" t="n">
        <v>54</v>
      </c>
      <c r="C3" s="4" t="n">
        <v>61</v>
      </c>
    </row>
    <row r="4">
      <c r="A4" s="4" t="inlineStr">
        <is>
          <t>Март</t>
        </is>
      </c>
      <c r="B4" s="4" t="n">
        <v>65</v>
      </c>
      <c r="C4" s="4" t="n">
        <v>65</v>
      </c>
    </row>
    <row r="5">
      <c r="A5" s="4" t="inlineStr">
        <is>
          <t>Апрель</t>
        </is>
      </c>
      <c r="B5" s="4" t="n">
        <v>70</v>
      </c>
      <c r="C5" s="4" t="n">
        <v>60</v>
      </c>
    </row>
    <row r="6">
      <c r="A6" s="4" t="inlineStr">
        <is>
          <t>Май</t>
        </is>
      </c>
      <c r="B6" s="4" t="n">
        <v>60</v>
      </c>
      <c r="C6" s="4" t="n">
        <v>55</v>
      </c>
    </row>
    <row r="7">
      <c r="A7" s="4" t="inlineStr">
        <is>
          <t>Июнь</t>
        </is>
      </c>
      <c r="B7" s="4" t="n">
        <v>40</v>
      </c>
      <c r="C7" s="4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12" customWidth="1" min="5" max="5"/>
    <col width="11" customWidth="1" min="6" max="6"/>
    <col width="9" customWidth="1" min="7" max="7"/>
    <col width="11" customWidth="1" min="8" max="8"/>
    <col width="14" customWidth="1" min="9" max="9"/>
    <col width="12" customWidth="1" min="10" max="10"/>
    <col width="16" customWidth="1" min="11" max="11"/>
  </cols>
  <sheetData>
    <row r="1">
      <c r="A1" t="inlineStr">
        <is>
          <t>лицевой счет №</t>
        </is>
      </c>
      <c r="E1" s="24" t="inlineStr">
        <is>
          <t>СЧЕТ</t>
        </is>
      </c>
      <c r="G1" t="inlineStr">
        <is>
          <t>ДЕЙСТВИТЕЛЕН ДО</t>
        </is>
      </c>
      <c r="H1" t="inlineStr">
        <is>
          <t>__.__.____ г.</t>
        </is>
      </c>
      <c r="K1" s="2" t="inlineStr">
        <is>
          <t>ФАКТУРА</t>
        </is>
      </c>
    </row>
    <row r="2">
      <c r="A2" t="inlineStr">
        <is>
          <t>за</t>
        </is>
      </c>
      <c r="E2" t="inlineStr">
        <is>
          <t>общая площадь помещения</t>
        </is>
      </c>
      <c r="I2" t="inlineStr">
        <is>
          <t>кв.м</t>
        </is>
      </c>
      <c r="J2" t="inlineStr">
        <is>
          <t>количество проживающих:</t>
        </is>
      </c>
    </row>
    <row r="3">
      <c r="K3" t="inlineStr">
        <is>
          <t>Оплатить не позднее __.__.____</t>
        </is>
      </c>
    </row>
    <row r="5" ht="62" customHeight="1">
      <c r="A5" s="3" t="inlineStr">
        <is>
          <t>№</t>
        </is>
      </c>
      <c r="B5" s="3" t="inlineStr">
        <is>
          <t>Краткое наименование услуги</t>
        </is>
      </c>
      <c r="C5" s="3" t="inlineStr">
        <is>
          <t>Оплата, поступившая в предыдущем месяце (руб.)</t>
        </is>
      </c>
      <c r="D5" s="3" t="inlineStr">
        <is>
          <t>Перерасчет за предыдущий период (руб.)</t>
        </is>
      </c>
      <c r="E5" s="3" t="inlineStr">
        <is>
          <t>Долг(+), переплата(-) (руб.)</t>
        </is>
      </c>
      <c r="F5" s="3" t="inlineStr">
        <is>
          <t>Единица измерения</t>
        </is>
      </c>
      <c r="G5" s="3" t="inlineStr">
        <is>
          <t>Объём</t>
        </is>
      </c>
      <c r="H5" s="3" t="inlineStr">
        <is>
          <t>Тариф за единицу услуги (руб.)</t>
        </is>
      </c>
      <c r="I5" s="3" t="inlineStr">
        <is>
          <t>Начислено за месяц по тарифу (руб.)</t>
        </is>
      </c>
      <c r="J5" s="3" t="inlineStr">
        <is>
          <t>Сумма недопоставки (руб.)</t>
        </is>
      </c>
      <c r="K5" s="3" t="inlineStr">
        <is>
          <t>К оплате с учётом недопоставки (руб.)</t>
        </is>
      </c>
    </row>
    <row r="6">
      <c r="A6" s="25" t="n">
        <v>1</v>
      </c>
      <c r="B6" s="25" t="n">
        <v>2</v>
      </c>
      <c r="C6" s="25" t="n">
        <v>3</v>
      </c>
      <c r="D6" s="25" t="n">
        <v>4</v>
      </c>
      <c r="E6" s="25" t="n">
        <v>5</v>
      </c>
      <c r="F6" s="25" t="n">
        <v>6</v>
      </c>
      <c r="G6" s="25" t="n">
        <v>7</v>
      </c>
      <c r="H6" s="25" t="n">
        <v>8</v>
      </c>
      <c r="I6" s="25" t="n">
        <v>9</v>
      </c>
      <c r="J6" s="25" t="n">
        <v>10</v>
      </c>
      <c r="K6" s="25" t="n">
        <v>11</v>
      </c>
    </row>
    <row r="7">
      <c r="A7" s="4" t="n">
        <v>1</v>
      </c>
      <c r="B7" s="4" t="inlineStr">
        <is>
          <t>Электроснабжение</t>
        </is>
      </c>
      <c r="C7" s="26" t="n"/>
      <c r="D7" s="26" t="n"/>
      <c r="E7" s="26" t="n"/>
      <c r="F7" s="4" t="inlineStr">
        <is>
          <t>кВт*ч</t>
        </is>
      </c>
      <c r="G7" s="4" t="n"/>
      <c r="H7" s="26" t="n"/>
      <c r="I7" s="26">
        <f>G7*H7</f>
        <v/>
      </c>
      <c r="J7" s="26" t="n"/>
      <c r="K7" s="26">
        <f>I7-J7</f>
        <v/>
      </c>
    </row>
    <row r="8">
      <c r="A8" s="4" t="n">
        <v>2</v>
      </c>
      <c r="B8" s="4" t="inlineStr">
        <is>
          <t>Отопление</t>
        </is>
      </c>
      <c r="C8" s="26" t="n"/>
      <c r="D8" s="26" t="n"/>
      <c r="E8" s="26" t="n"/>
      <c r="F8" s="4" t="inlineStr">
        <is>
          <t>кв.метр</t>
        </is>
      </c>
      <c r="G8" s="4" t="n"/>
      <c r="H8" s="26" t="n"/>
      <c r="I8" s="26">
        <f>G8*H8</f>
        <v/>
      </c>
      <c r="J8" s="26" t="n"/>
      <c r="K8" s="26">
        <f>I8-J8</f>
        <v/>
      </c>
    </row>
    <row r="9">
      <c r="A9" s="4" t="n">
        <v>3</v>
      </c>
      <c r="B9" s="4" t="inlineStr">
        <is>
          <t>Горячее водоснабжение</t>
        </is>
      </c>
      <c r="C9" s="26" t="n"/>
      <c r="D9" s="26" t="n"/>
      <c r="E9" s="26" t="n"/>
      <c r="F9" s="4" t="inlineStr">
        <is>
          <t>куб.м</t>
        </is>
      </c>
      <c r="G9" s="4" t="n"/>
      <c r="H9" s="26" t="n"/>
      <c r="I9" s="26">
        <f>G9*H9</f>
        <v/>
      </c>
      <c r="J9" s="26" t="n"/>
      <c r="K9" s="26">
        <f>I9-J9</f>
        <v/>
      </c>
    </row>
    <row r="10">
      <c r="A10" s="4" t="n"/>
      <c r="B10" s="4" t="inlineStr">
        <is>
          <t>в т.ч. холодная вода для нужд ГВС</t>
        </is>
      </c>
      <c r="C10" s="26" t="n"/>
      <c r="D10" s="26" t="n"/>
      <c r="E10" s="26" t="n"/>
      <c r="F10" s="4" t="inlineStr">
        <is>
          <t>куб.м</t>
        </is>
      </c>
      <c r="G10" s="4" t="n"/>
      <c r="H10" s="26" t="n"/>
      <c r="I10" s="26">
        <f>G10*H10</f>
        <v/>
      </c>
      <c r="J10" s="26" t="n"/>
      <c r="K10" s="26">
        <f>I10-J10</f>
        <v/>
      </c>
    </row>
    <row r="11">
      <c r="A11" s="4" t="n"/>
      <c r="B11" s="4" t="inlineStr">
        <is>
          <t>в т.ч. подогрев воды</t>
        </is>
      </c>
      <c r="C11" s="26" t="n"/>
      <c r="D11" s="26" t="n"/>
      <c r="E11" s="26" t="n"/>
      <c r="F11" s="4" t="inlineStr">
        <is>
          <t>куб.м</t>
        </is>
      </c>
      <c r="G11" s="4" t="n"/>
      <c r="H11" s="26" t="n"/>
      <c r="I11" s="26">
        <f>G11*H11</f>
        <v/>
      </c>
      <c r="J11" s="26" t="n"/>
      <c r="K11" s="26">
        <f>I11-J11</f>
        <v/>
      </c>
    </row>
    <row r="12">
      <c r="A12" s="4" t="n">
        <v>4</v>
      </c>
      <c r="B12" s="4" t="inlineStr">
        <is>
          <t>Водоснабжение</t>
        </is>
      </c>
      <c r="C12" s="26" t="n"/>
      <c r="D12" s="26" t="n"/>
      <c r="E12" s="26" t="n"/>
      <c r="F12" s="4" t="inlineStr">
        <is>
          <t>куб.м</t>
        </is>
      </c>
      <c r="G12" s="4" t="n"/>
      <c r="H12" s="26" t="n"/>
      <c r="I12" s="26">
        <f>G12*H12</f>
        <v/>
      </c>
      <c r="J12" s="26" t="n"/>
      <c r="K12" s="26">
        <f>I12-J12</f>
        <v/>
      </c>
    </row>
    <row r="13">
      <c r="A13" s="4" t="n">
        <v>5</v>
      </c>
      <c r="B13" s="4" t="inlineStr">
        <is>
          <t>Канализование</t>
        </is>
      </c>
      <c r="C13" s="26" t="n"/>
      <c r="D13" s="26" t="n"/>
      <c r="E13" s="26" t="n"/>
      <c r="F13" s="4" t="inlineStr">
        <is>
          <t>куб.м</t>
        </is>
      </c>
      <c r="G13" s="4" t="n"/>
      <c r="H13" s="26" t="n"/>
      <c r="I13" s="26">
        <f>G13*H13</f>
        <v/>
      </c>
      <c r="J13" s="26" t="n"/>
      <c r="K13" s="26">
        <f>I13-J13</f>
        <v/>
      </c>
    </row>
    <row r="14">
      <c r="A14" s="6" t="n"/>
      <c r="B14" s="6" t="inlineStr">
        <is>
          <t>Итого по коммунальным услугам</t>
        </is>
      </c>
      <c r="C14" s="27">
        <f>C7+C8+C9+C12+C13</f>
        <v/>
      </c>
      <c r="D14" s="27">
        <f>D7+D8+D9+D12+D13</f>
        <v/>
      </c>
      <c r="E14" s="27">
        <f>E7+E8+E9+E12+E13</f>
        <v/>
      </c>
      <c r="F14" s="6" t="n"/>
      <c r="G14" s="6" t="n"/>
      <c r="H14" s="27" t="n"/>
      <c r="I14" s="27">
        <f>I7+I8+I9+I12+I13</f>
        <v/>
      </c>
      <c r="J14" s="27">
        <f>J7+J8+J9+J12+J13</f>
        <v/>
      </c>
      <c r="K14" s="27">
        <f>K7+K8+K9+K12+K13</f>
        <v/>
      </c>
    </row>
    <row r="15">
      <c r="A15" s="4" t="n">
        <v>6</v>
      </c>
      <c r="B15" s="4" t="inlineStr">
        <is>
          <t>Наем</t>
        </is>
      </c>
      <c r="C15" s="26" t="n"/>
      <c r="D15" s="26" t="n"/>
      <c r="E15" s="26" t="n"/>
      <c r="F15" s="4" t="inlineStr">
        <is>
          <t>кв.метр</t>
        </is>
      </c>
      <c r="G15" s="4" t="n"/>
      <c r="H15" s="26" t="n"/>
      <c r="I15" s="26">
        <f>G15*H15</f>
        <v/>
      </c>
      <c r="J15" s="26" t="n"/>
      <c r="K15" s="26">
        <f>I15-J15</f>
        <v/>
      </c>
    </row>
    <row r="16">
      <c r="A16" s="4" t="n">
        <v>7</v>
      </c>
      <c r="B16" s="4" t="inlineStr">
        <is>
          <t>Капитальный ремонт жилых зданий</t>
        </is>
      </c>
      <c r="C16" s="26" t="n"/>
      <c r="D16" s="26" t="n"/>
      <c r="E16" s="26" t="n"/>
      <c r="F16" s="4" t="inlineStr">
        <is>
          <t>кв.метр</t>
        </is>
      </c>
      <c r="G16" s="4" t="n"/>
      <c r="H16" s="26" t="n"/>
      <c r="I16" s="26">
        <f>G16*H16</f>
        <v/>
      </c>
      <c r="J16" s="26" t="n"/>
      <c r="K16" s="26">
        <f>I16-J16</f>
        <v/>
      </c>
    </row>
    <row r="17">
      <c r="A17" s="4" t="n">
        <v>8</v>
      </c>
      <c r="B17" s="4" t="inlineStr">
        <is>
          <t>Управление домом</t>
        </is>
      </c>
      <c r="C17" s="26" t="n"/>
      <c r="D17" s="26" t="n"/>
      <c r="E17" s="26" t="n"/>
      <c r="F17" s="4" t="inlineStr">
        <is>
          <t>кв.метр</t>
        </is>
      </c>
      <c r="G17" s="4" t="n"/>
      <c r="H17" s="26" t="n"/>
      <c r="I17" s="26">
        <f>G17*H17</f>
        <v/>
      </c>
      <c r="J17" s="26" t="n"/>
      <c r="K17" s="26">
        <f>I17-J17</f>
        <v/>
      </c>
    </row>
    <row r="18">
      <c r="A18" s="4" t="n">
        <v>9</v>
      </c>
      <c r="B18" s="4" t="inlineStr">
        <is>
          <t>Уборка придомовой территории</t>
        </is>
      </c>
      <c r="C18" s="26" t="n"/>
      <c r="D18" s="26" t="n"/>
      <c r="E18" s="26" t="n"/>
      <c r="F18" s="4" t="inlineStr">
        <is>
          <t>кв.метр</t>
        </is>
      </c>
      <c r="G18" s="4" t="n"/>
      <c r="H18" s="26" t="n"/>
      <c r="I18" s="26">
        <f>G18*H18</f>
        <v/>
      </c>
      <c r="J18" s="26" t="n"/>
      <c r="K18" s="26">
        <f>I18-J18</f>
        <v/>
      </c>
    </row>
    <row r="19">
      <c r="A19" s="4" t="n">
        <v>10</v>
      </c>
      <c r="B19" s="4" t="inlineStr">
        <is>
          <t>Вывоз твердых бытовых отходов</t>
        </is>
      </c>
      <c r="C19" s="26" t="n"/>
      <c r="D19" s="26" t="n"/>
      <c r="E19" s="26" t="n"/>
      <c r="F19" s="4" t="inlineStr">
        <is>
          <t>кв.метр</t>
        </is>
      </c>
      <c r="G19" s="4" t="n"/>
      <c r="H19" s="26" t="n"/>
      <c r="I19" s="26">
        <f>G19*H19</f>
        <v/>
      </c>
      <c r="J19" s="26" t="n"/>
      <c r="K19" s="26">
        <f>I19-J19</f>
        <v/>
      </c>
    </row>
    <row r="20">
      <c r="A20" s="4" t="n">
        <v>11</v>
      </c>
      <c r="B20" s="4" t="inlineStr">
        <is>
          <t>Содержание контейнерных площадок</t>
        </is>
      </c>
      <c r="C20" s="26" t="n"/>
      <c r="D20" s="26" t="n"/>
      <c r="E20" s="26" t="n"/>
      <c r="F20" s="4" t="inlineStr">
        <is>
          <t>кв.метр</t>
        </is>
      </c>
      <c r="G20" s="4" t="n"/>
      <c r="H20" s="26" t="n"/>
      <c r="I20" s="26">
        <f>G20*H20</f>
        <v/>
      </c>
      <c r="J20" s="26" t="n"/>
      <c r="K20" s="26">
        <f>I20-J20</f>
        <v/>
      </c>
    </row>
    <row r="21">
      <c r="A21" s="4" t="n"/>
      <c r="B21" s="6" t="inlineStr">
        <is>
          <t>Тех. обслуживание и тек. ремонт</t>
        </is>
      </c>
      <c r="C21" s="26" t="n"/>
      <c r="D21" s="26" t="n"/>
      <c r="E21" s="26" t="n"/>
      <c r="F21" s="4" t="n"/>
      <c r="G21" s="4" t="n"/>
      <c r="H21" s="26" t="n"/>
      <c r="I21" s="26" t="n"/>
      <c r="J21" s="26" t="n"/>
      <c r="K21" s="26" t="n"/>
    </row>
    <row r="22">
      <c r="A22" s="4" t="n">
        <v>12</v>
      </c>
      <c r="B22" s="4" t="inlineStr">
        <is>
          <t>нежилого здания</t>
        </is>
      </c>
      <c r="C22" s="26" t="n"/>
      <c r="D22" s="26" t="n"/>
      <c r="E22" s="26" t="n"/>
      <c r="F22" s="4" t="inlineStr">
        <is>
          <t>кв.метр</t>
        </is>
      </c>
      <c r="G22" s="4" t="n"/>
      <c r="H22" s="26" t="n"/>
      <c r="I22" s="26">
        <f>G22*H22</f>
        <v/>
      </c>
      <c r="J22" s="26" t="n"/>
      <c r="K22" s="26">
        <f>I22-J22</f>
        <v/>
      </c>
    </row>
    <row r="23">
      <c r="A23" s="4" t="n">
        <v>13</v>
      </c>
      <c r="B23" s="4" t="inlineStr">
        <is>
          <t>внутридомовых систем водоснабж. и кан.</t>
        </is>
      </c>
      <c r="C23" s="26" t="n"/>
      <c r="D23" s="26" t="n"/>
      <c r="E23" s="26" t="n"/>
      <c r="F23" s="4" t="inlineStr">
        <is>
          <t>кв.метр</t>
        </is>
      </c>
      <c r="G23" s="4" t="n"/>
      <c r="H23" s="26" t="n"/>
      <c r="I23" s="26">
        <f>G23*H23</f>
        <v/>
      </c>
      <c r="J23" s="26" t="n"/>
      <c r="K23" s="26">
        <f>I23-J23</f>
        <v/>
      </c>
    </row>
    <row r="24">
      <c r="A24" s="4" t="n">
        <v>14</v>
      </c>
      <c r="B24" s="4" t="inlineStr">
        <is>
          <t>внутридомовых систем центр. отопления</t>
        </is>
      </c>
      <c r="C24" s="26" t="n"/>
      <c r="D24" s="26" t="n"/>
      <c r="E24" s="26" t="n"/>
      <c r="F24" s="4" t="inlineStr">
        <is>
          <t>кв.метр</t>
        </is>
      </c>
      <c r="G24" s="4" t="n"/>
      <c r="H24" s="26" t="n"/>
      <c r="I24" s="26">
        <f>G24*H24</f>
        <v/>
      </c>
      <c r="J24" s="26" t="n"/>
      <c r="K24" s="26">
        <f>I24-J24</f>
        <v/>
      </c>
    </row>
    <row r="25">
      <c r="A25" s="4" t="n">
        <v>15</v>
      </c>
      <c r="B25" s="4" t="inlineStr">
        <is>
          <t>внутридомовых сетей эл. снаб. и эл. обор.</t>
        </is>
      </c>
      <c r="C25" s="26" t="n"/>
      <c r="D25" s="26" t="n"/>
      <c r="E25" s="26" t="n"/>
      <c r="F25" s="4" t="inlineStr">
        <is>
          <t>кв.метр</t>
        </is>
      </c>
      <c r="G25" s="4" t="n"/>
      <c r="H25" s="26" t="n"/>
      <c r="I25" s="26">
        <f>G25*H25</f>
        <v/>
      </c>
      <c r="J25" s="26" t="n"/>
      <c r="K25" s="26">
        <f>I25-J25</f>
        <v/>
      </c>
    </row>
    <row r="26">
      <c r="A26" s="6" t="n"/>
      <c r="B26" s="6" t="inlineStr">
        <is>
          <t>Итого по жилищным услугам</t>
        </is>
      </c>
      <c r="C26" s="27">
        <f>C15+C16+C17+C18+C19+C20+C22+C23+C24+C25</f>
        <v/>
      </c>
      <c r="D26" s="27">
        <f>D15+D16+D17+D18+D19+D20+D22+D23+D24+D25</f>
        <v/>
      </c>
      <c r="E26" s="27">
        <f>E15+E16+E17+E18+E19+E20+E22+E23+E24+E25</f>
        <v/>
      </c>
      <c r="F26" s="6" t="n"/>
      <c r="G26" s="6" t="n"/>
      <c r="H26" s="27" t="n"/>
      <c r="I26" s="27">
        <f>I15+I16+I17+I18+I19+I20+I22+I23+I24+I25</f>
        <v/>
      </c>
      <c r="J26" s="27">
        <f>J15+J16+J17+J18+J19+J20+J22+J23+J24+J25</f>
        <v/>
      </c>
      <c r="K26" s="27">
        <f>K15+K16+K17+K18+K19+K20+K22+K23+K24+K25</f>
        <v/>
      </c>
    </row>
    <row r="27">
      <c r="A27" s="4" t="n"/>
      <c r="B27" s="4" t="n"/>
      <c r="C27" s="26" t="n"/>
      <c r="D27" s="26" t="n"/>
      <c r="E27" s="26" t="n"/>
      <c r="F27" s="4" t="n"/>
      <c r="G27" s="4" t="n"/>
      <c r="H27" s="26" t="n"/>
      <c r="I27" s="26" t="n"/>
      <c r="J27" s="26" t="n"/>
      <c r="K27" s="26" t="n"/>
    </row>
    <row r="28">
      <c r="A28" s="4" t="n"/>
      <c r="B28" s="4" t="n"/>
      <c r="C28" s="26" t="n"/>
      <c r="D28" s="26" t="n"/>
      <c r="E28" s="26" t="n"/>
      <c r="F28" s="4" t="n"/>
      <c r="G28" s="4" t="n"/>
      <c r="H28" s="26" t="n"/>
      <c r="I28" s="26" t="n"/>
      <c r="J28" s="26" t="n"/>
      <c r="K28" s="26" t="n"/>
    </row>
    <row r="29">
      <c r="A29" s="4" t="n"/>
      <c r="B29" s="4" t="n"/>
      <c r="C29" s="26" t="n"/>
      <c r="D29" s="26" t="n"/>
      <c r="E29" s="26" t="n"/>
      <c r="F29" s="4" t="n"/>
      <c r="G29" s="4" t="n"/>
      <c r="H29" s="26" t="n"/>
      <c r="I29" s="26" t="n"/>
      <c r="J29" s="26" t="n"/>
      <c r="K29" s="26" t="n"/>
    </row>
    <row r="30">
      <c r="A30" s="4" t="n"/>
      <c r="B30" s="4" t="n"/>
      <c r="C30" s="26" t="n"/>
      <c r="D30" s="26" t="n"/>
      <c r="E30" s="26" t="n"/>
      <c r="F30" s="4" t="n"/>
      <c r="G30" s="4" t="n"/>
      <c r="H30" s="26" t="n"/>
      <c r="I30" s="26" t="n"/>
      <c r="J30" s="26" t="n"/>
      <c r="K30" s="26" t="n"/>
    </row>
    <row r="31">
      <c r="A31" s="4" t="n"/>
      <c r="B31" s="4" t="n"/>
      <c r="C31" s="26" t="n"/>
      <c r="D31" s="26" t="n"/>
      <c r="E31" s="26" t="n"/>
      <c r="F31" s="4" t="n"/>
      <c r="G31" s="4" t="n"/>
      <c r="H31" s="26" t="n"/>
      <c r="I31" s="26" t="n"/>
      <c r="J31" s="26" t="n"/>
      <c r="K31" s="26" t="n"/>
    </row>
    <row r="32">
      <c r="A32" s="4" t="n"/>
      <c r="B32" s="4" t="n"/>
      <c r="C32" s="26" t="n"/>
      <c r="D32" s="26" t="n"/>
      <c r="E32" s="26" t="n"/>
      <c r="F32" s="4" t="n"/>
      <c r="G32" s="4" t="n"/>
      <c r="H32" s="26" t="n"/>
      <c r="I32" s="26" t="n"/>
      <c r="J32" s="26" t="n"/>
      <c r="K32" s="26" t="n"/>
    </row>
    <row r="33">
      <c r="A33" s="4" t="n"/>
      <c r="B33" s="4" t="n"/>
      <c r="C33" s="26" t="n"/>
      <c r="D33" s="26" t="n"/>
      <c r="E33" s="26" t="n"/>
      <c r="F33" s="4" t="n"/>
      <c r="G33" s="4" t="n"/>
      <c r="H33" s="26" t="n"/>
      <c r="I33" s="26" t="n"/>
      <c r="J33" s="26" t="n"/>
      <c r="K33" s="26" t="n"/>
    </row>
    <row r="34">
      <c r="A34" s="4" t="n"/>
      <c r="B34" s="4" t="n"/>
      <c r="C34" s="26" t="n"/>
      <c r="D34" s="26" t="n"/>
      <c r="E34" s="26" t="n"/>
      <c r="F34" s="4" t="n"/>
      <c r="G34" s="4" t="n"/>
      <c r="H34" s="26" t="n"/>
      <c r="I34" s="26" t="n"/>
      <c r="J34" s="26" t="n"/>
      <c r="K34" s="26" t="n"/>
    </row>
    <row r="35">
      <c r="A35" s="4" t="n"/>
      <c r="B35" s="6" t="inlineStr">
        <is>
          <t>Итого</t>
        </is>
      </c>
      <c r="C35" s="27">
        <f>C14+C26</f>
        <v/>
      </c>
      <c r="D35" s="27">
        <f>D14+D26</f>
        <v/>
      </c>
      <c r="E35" s="27">
        <f>E14+E26</f>
        <v/>
      </c>
      <c r="F35" s="4" t="n"/>
      <c r="G35" s="4" t="n"/>
      <c r="H35" s="26" t="n"/>
      <c r="I35" s="27">
        <f>I14+I26</f>
        <v/>
      </c>
      <c r="J35" s="27">
        <f>J14+J26</f>
        <v/>
      </c>
      <c r="K35" s="27">
        <f>K14+K26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12" customWidth="1" min="5" max="5"/>
    <col width="11" customWidth="1" min="6" max="6"/>
    <col width="9" customWidth="1" min="7" max="7"/>
    <col width="11" customWidth="1" min="8" max="8"/>
    <col width="14" customWidth="1" min="9" max="9"/>
    <col width="12" customWidth="1" min="10" max="10"/>
    <col width="16" customWidth="1" min="11" max="11"/>
  </cols>
  <sheetData>
    <row r="1">
      <c r="A1" t="inlineStr">
        <is>
          <t>лицевой счет №</t>
        </is>
      </c>
      <c r="C1" t="n">
        <v>2765896</v>
      </c>
      <c r="E1" s="24" t="inlineStr">
        <is>
          <t>СЧЕТ</t>
        </is>
      </c>
      <c r="G1" t="inlineStr">
        <is>
          <t>ДЕЙСТВИТЕЛЕН ДО</t>
        </is>
      </c>
      <c r="H1" t="inlineStr">
        <is>
          <t>30.04.2012 г.</t>
        </is>
      </c>
      <c r="K1" s="2" t="inlineStr">
        <is>
          <t>ФАКТУРА</t>
        </is>
      </c>
    </row>
    <row r="2">
      <c r="A2" t="inlineStr">
        <is>
          <t>за</t>
        </is>
      </c>
      <c r="C2" t="inlineStr">
        <is>
          <t>апрель 2012</t>
        </is>
      </c>
      <c r="E2" t="inlineStr">
        <is>
          <t>общая площадь помещения</t>
        </is>
      </c>
      <c r="H2" t="n">
        <v>59.9</v>
      </c>
      <c r="I2" t="inlineStr">
        <is>
          <t>кв.м</t>
        </is>
      </c>
      <c r="J2" t="inlineStr">
        <is>
          <t>количество проживающих:</t>
        </is>
      </c>
      <c r="L2" t="n">
        <v>2</v>
      </c>
    </row>
    <row r="3">
      <c r="K3" t="inlineStr">
        <is>
          <t>Оплатить не позднее 30.04.2012</t>
        </is>
      </c>
    </row>
    <row r="5" ht="62" customHeight="1">
      <c r="A5" s="3" t="inlineStr">
        <is>
          <t>№</t>
        </is>
      </c>
      <c r="B5" s="3" t="inlineStr">
        <is>
          <t>Краткое наименование услуги</t>
        </is>
      </c>
      <c r="C5" s="3" t="inlineStr">
        <is>
          <t>Оплата, поступившая в предыдущем месяце (руб.)</t>
        </is>
      </c>
      <c r="D5" s="3" t="inlineStr">
        <is>
          <t>Перерасчет за предыдущий период (руб.)</t>
        </is>
      </c>
      <c r="E5" s="3" t="inlineStr">
        <is>
          <t>Долг(+), переплата(-) (руб.)</t>
        </is>
      </c>
      <c r="F5" s="3" t="inlineStr">
        <is>
          <t>Единица измерения</t>
        </is>
      </c>
      <c r="G5" s="3" t="inlineStr">
        <is>
          <t>Объём</t>
        </is>
      </c>
      <c r="H5" s="3" t="inlineStr">
        <is>
          <t>Тариф за единицу услуги (руб.)</t>
        </is>
      </c>
      <c r="I5" s="3" t="inlineStr">
        <is>
          <t>Начислено за месяц по тарифу (руб.)</t>
        </is>
      </c>
      <c r="J5" s="3" t="inlineStr">
        <is>
          <t>Сумма недопоставки (руб.)</t>
        </is>
      </c>
      <c r="K5" s="3" t="inlineStr">
        <is>
          <t>К оплате с учётом недопоставки (руб.)</t>
        </is>
      </c>
    </row>
    <row r="6">
      <c r="A6" s="25" t="n">
        <v>1</v>
      </c>
      <c r="B6" s="25" t="n">
        <v>2</v>
      </c>
      <c r="C6" s="25" t="n">
        <v>3</v>
      </c>
      <c r="D6" s="25" t="n">
        <v>4</v>
      </c>
      <c r="E6" s="25" t="n">
        <v>5</v>
      </c>
      <c r="F6" s="25" t="n">
        <v>6</v>
      </c>
      <c r="G6" s="25" t="n">
        <v>7</v>
      </c>
      <c r="H6" s="25" t="n">
        <v>8</v>
      </c>
      <c r="I6" s="25" t="n">
        <v>9</v>
      </c>
      <c r="J6" s="25" t="n">
        <v>10</v>
      </c>
      <c r="K6" s="25" t="n">
        <v>11</v>
      </c>
    </row>
    <row r="7">
      <c r="A7" s="4" t="n">
        <v>1</v>
      </c>
      <c r="B7" s="4" t="inlineStr">
        <is>
          <t>Электроснабжение</t>
        </is>
      </c>
      <c r="C7" s="26" t="n">
        <v>346.5</v>
      </c>
      <c r="D7" s="26" t="n"/>
      <c r="E7" s="26" t="n"/>
      <c r="F7" s="4" t="inlineStr">
        <is>
          <t>кВт*ч</t>
        </is>
      </c>
      <c r="G7" s="4" t="n">
        <v>278</v>
      </c>
      <c r="H7" s="26" t="n">
        <v>2.43</v>
      </c>
      <c r="I7" s="26">
        <f>G7*H7</f>
        <v/>
      </c>
      <c r="J7" s="26" t="n"/>
      <c r="K7" s="26">
        <f>I7-J7</f>
        <v/>
      </c>
    </row>
    <row r="8">
      <c r="A8" s="4" t="n">
        <v>2</v>
      </c>
      <c r="B8" s="4" t="inlineStr">
        <is>
          <t>Отопление</t>
        </is>
      </c>
      <c r="C8" s="26" t="n">
        <v>1224.38</v>
      </c>
      <c r="D8" s="26" t="n"/>
      <c r="E8" s="26" t="n"/>
      <c r="F8" s="4" t="inlineStr">
        <is>
          <t>кв.метр</t>
        </is>
      </c>
      <c r="G8" s="4" t="n">
        <v>59.9</v>
      </c>
      <c r="H8" s="26" t="n">
        <v>22.28</v>
      </c>
      <c r="I8" s="26">
        <f>G8*H8</f>
        <v/>
      </c>
      <c r="J8" s="26" t="n"/>
      <c r="K8" s="26">
        <f>I8-J8</f>
        <v/>
      </c>
    </row>
    <row r="9">
      <c r="A9" s="4" t="n">
        <v>3</v>
      </c>
      <c r="B9" s="4" t="inlineStr">
        <is>
          <t>Горячее водоснабжение</t>
        </is>
      </c>
      <c r="C9" s="26" t="n">
        <v>1152.32</v>
      </c>
      <c r="D9" s="26" t="n"/>
      <c r="E9" s="26" t="n"/>
      <c r="F9" s="4" t="inlineStr">
        <is>
          <t>куб.м</t>
        </is>
      </c>
      <c r="G9" s="4" t="n">
        <v>13.8</v>
      </c>
      <c r="H9" s="26" t="n">
        <v>83.55</v>
      </c>
      <c r="I9" s="26">
        <f>G9*H9</f>
        <v/>
      </c>
      <c r="J9" s="26" t="n"/>
      <c r="K9" s="26">
        <f>I9-J9</f>
        <v/>
      </c>
    </row>
    <row r="10">
      <c r="A10" s="4" t="n"/>
      <c r="B10" s="4" t="inlineStr">
        <is>
          <t>в т.ч. холодная вода для нужд ГВС</t>
        </is>
      </c>
      <c r="C10" s="26" t="n">
        <v>202.8</v>
      </c>
      <c r="D10" s="26" t="n"/>
      <c r="E10" s="26" t="n"/>
      <c r="F10" s="4" t="inlineStr">
        <is>
          <t>куб.м</t>
        </is>
      </c>
      <c r="G10" s="4" t="n">
        <v>13.8</v>
      </c>
      <c r="H10" s="26" t="n">
        <v>14.69</v>
      </c>
      <c r="I10" s="26">
        <f>G10*H10</f>
        <v/>
      </c>
      <c r="J10" s="26" t="n"/>
      <c r="K10" s="26">
        <f>I10-J10</f>
        <v/>
      </c>
    </row>
    <row r="11">
      <c r="A11" s="4" t="n"/>
      <c r="B11" s="4" t="inlineStr">
        <is>
          <t>в т.ч. подогрев воды</t>
        </is>
      </c>
      <c r="C11" s="26" t="n">
        <v>189.2</v>
      </c>
      <c r="D11" s="26" t="n"/>
      <c r="E11" s="26" t="n"/>
      <c r="F11" s="4" t="inlineStr">
        <is>
          <t>куб.м</t>
        </is>
      </c>
      <c r="G11" s="4" t="n">
        <v>13.8</v>
      </c>
      <c r="H11" s="26" t="n">
        <v>68.86</v>
      </c>
      <c r="I11" s="26">
        <f>G11*H11</f>
        <v/>
      </c>
      <c r="J11" s="26" t="n"/>
      <c r="K11" s="26">
        <f>I11-J11</f>
        <v/>
      </c>
    </row>
    <row r="12">
      <c r="A12" s="4" t="n">
        <v>4</v>
      </c>
      <c r="B12" s="4" t="inlineStr">
        <is>
          <t>Водоснабжение</t>
        </is>
      </c>
      <c r="C12" s="26" t="n">
        <v>400.4</v>
      </c>
      <c r="D12" s="26" t="n"/>
      <c r="E12" s="26" t="n"/>
      <c r="F12" s="4" t="inlineStr">
        <is>
          <t>куб.м</t>
        </is>
      </c>
      <c r="G12" s="4" t="n">
        <v>27</v>
      </c>
      <c r="H12" s="26" t="n">
        <v>14.69</v>
      </c>
      <c r="I12" s="26">
        <f>G12*H12</f>
        <v/>
      </c>
      <c r="J12" s="26" t="n"/>
      <c r="K12" s="26">
        <f>I12-J12</f>
        <v/>
      </c>
    </row>
    <row r="13">
      <c r="A13" s="4" t="n">
        <v>5</v>
      </c>
      <c r="B13" s="4" t="inlineStr">
        <is>
          <t>Канализование</t>
        </is>
      </c>
      <c r="C13" s="26" t="n">
        <v>450.69</v>
      </c>
      <c r="D13" s="26" t="n"/>
      <c r="E13" s="26" t="n"/>
      <c r="F13" s="4" t="inlineStr">
        <is>
          <t>куб.м</t>
        </is>
      </c>
      <c r="G13" s="4" t="n">
        <v>40.8</v>
      </c>
      <c r="H13" s="26" t="n">
        <v>11.2</v>
      </c>
      <c r="I13" s="26">
        <f>G13*H13</f>
        <v/>
      </c>
      <c r="J13" s="26" t="n"/>
      <c r="K13" s="26">
        <f>I13-J13</f>
        <v/>
      </c>
    </row>
    <row r="14">
      <c r="A14" s="6" t="n"/>
      <c r="B14" s="6" t="inlineStr">
        <is>
          <t>Итого по коммунальным услугам</t>
        </is>
      </c>
      <c r="C14" s="27">
        <f>C7+C8+C9+C12+C13</f>
        <v/>
      </c>
      <c r="D14" s="27">
        <f>D7+D8+D9+D12+D13</f>
        <v/>
      </c>
      <c r="E14" s="27">
        <f>E7+E8+E9+E12+E13</f>
        <v/>
      </c>
      <c r="F14" s="6" t="n"/>
      <c r="G14" s="6" t="n"/>
      <c r="H14" s="27" t="n"/>
      <c r="I14" s="27">
        <f>I7+I8+I9+I12+I13</f>
        <v/>
      </c>
      <c r="J14" s="27">
        <f>J7+J8+J9+J12+J13</f>
        <v/>
      </c>
      <c r="K14" s="27">
        <f>K7+K8+K9+K12+K13</f>
        <v/>
      </c>
    </row>
    <row r="15">
      <c r="A15" s="4" t="n">
        <v>6</v>
      </c>
      <c r="B15" s="4" t="inlineStr">
        <is>
          <t>Наем</t>
        </is>
      </c>
      <c r="C15" s="26" t="n">
        <v>0</v>
      </c>
      <c r="D15" s="26" t="n"/>
      <c r="E15" s="26" t="n"/>
      <c r="F15" s="4" t="inlineStr">
        <is>
          <t>кв.метр</t>
        </is>
      </c>
      <c r="G15" s="4" t="n">
        <v>0</v>
      </c>
      <c r="H15" s="26" t="n">
        <v>0</v>
      </c>
      <c r="I15" s="26">
        <f>G15*H15</f>
        <v/>
      </c>
      <c r="J15" s="26" t="n"/>
      <c r="K15" s="26">
        <f>I15-J15</f>
        <v/>
      </c>
    </row>
    <row r="16">
      <c r="A16" s="4" t="n">
        <v>7</v>
      </c>
      <c r="B16" s="4" t="inlineStr">
        <is>
          <t>Капитальный ремонт жилых зданий</t>
        </is>
      </c>
      <c r="C16" s="26" t="n">
        <v>297.32</v>
      </c>
      <c r="D16" s="26" t="n"/>
      <c r="E16" s="26" t="n"/>
      <c r="F16" s="4" t="inlineStr">
        <is>
          <t>кв.метр</t>
        </is>
      </c>
      <c r="G16" s="4" t="n">
        <v>59.9</v>
      </c>
      <c r="H16" s="26" t="n">
        <v>5</v>
      </c>
      <c r="I16" s="26">
        <f>G16*H16</f>
        <v/>
      </c>
      <c r="J16" s="26" t="n"/>
      <c r="K16" s="26">
        <f>I16-J16</f>
        <v/>
      </c>
    </row>
    <row r="17">
      <c r="A17" s="4" t="n">
        <v>8</v>
      </c>
      <c r="B17" s="4" t="inlineStr">
        <is>
          <t>Управление домом</t>
        </is>
      </c>
      <c r="C17" s="26" t="n">
        <v>141.53</v>
      </c>
      <c r="D17" s="26" t="n"/>
      <c r="E17" s="26" t="n"/>
      <c r="F17" s="4" t="inlineStr">
        <is>
          <t>кв.метр</t>
        </is>
      </c>
      <c r="G17" s="4" t="n">
        <v>59.9</v>
      </c>
      <c r="H17" s="26" t="n">
        <v>2.38</v>
      </c>
      <c r="I17" s="26">
        <f>G17*H17</f>
        <v/>
      </c>
      <c r="J17" s="26" t="n"/>
      <c r="K17" s="26">
        <f>I17-J17</f>
        <v/>
      </c>
    </row>
    <row r="18">
      <c r="A18" s="4" t="n">
        <v>9</v>
      </c>
      <c r="B18" s="4" t="inlineStr">
        <is>
          <t>Уборка придомовой территории</t>
        </is>
      </c>
      <c r="C18" s="26" t="n">
        <v>152.83</v>
      </c>
      <c r="D18" s="26" t="n"/>
      <c r="E18" s="26" t="n"/>
      <c r="F18" s="4" t="inlineStr">
        <is>
          <t>кв.метр</t>
        </is>
      </c>
      <c r="G18" s="4" t="n">
        <v>59.9</v>
      </c>
      <c r="H18" s="26" t="n">
        <v>2.57</v>
      </c>
      <c r="I18" s="26">
        <f>G18*H18</f>
        <v/>
      </c>
      <c r="J18" s="26" t="n"/>
      <c r="K18" s="26">
        <f>I18-J18</f>
        <v/>
      </c>
    </row>
    <row r="19">
      <c r="A19" s="4" t="n">
        <v>10</v>
      </c>
      <c r="B19" s="4" t="inlineStr">
        <is>
          <t>Вывоз твердых бытовых отходов</t>
        </is>
      </c>
      <c r="C19" s="26" t="n">
        <v>130.82</v>
      </c>
      <c r="D19" s="26" t="n"/>
      <c r="E19" s="26" t="n"/>
      <c r="F19" s="4" t="inlineStr">
        <is>
          <t>кв.метр</t>
        </is>
      </c>
      <c r="G19" s="4" t="n">
        <v>59.9</v>
      </c>
      <c r="H19" s="26" t="n">
        <v>2.2</v>
      </c>
      <c r="I19" s="26">
        <f>G19*H19</f>
        <v/>
      </c>
      <c r="J19" s="26" t="n"/>
      <c r="K19" s="26">
        <f>I19-J19</f>
        <v/>
      </c>
    </row>
    <row r="20">
      <c r="A20" s="4" t="n">
        <v>11</v>
      </c>
      <c r="B20" s="4" t="inlineStr">
        <is>
          <t>Содержание контейнерных площадок</t>
        </is>
      </c>
      <c r="C20" s="26" t="n">
        <v>16.65</v>
      </c>
      <c r="D20" s="26" t="n"/>
      <c r="E20" s="26" t="n"/>
      <c r="F20" s="4" t="inlineStr">
        <is>
          <t>кв.метр</t>
        </is>
      </c>
      <c r="G20" s="4" t="n">
        <v>59.9</v>
      </c>
      <c r="H20" s="26" t="n">
        <v>0.28</v>
      </c>
      <c r="I20" s="26">
        <f>G20*H20</f>
        <v/>
      </c>
      <c r="J20" s="26" t="n"/>
      <c r="K20" s="26">
        <f>I20-J20</f>
        <v/>
      </c>
    </row>
    <row r="21">
      <c r="A21" s="4" t="n"/>
      <c r="B21" s="6" t="inlineStr">
        <is>
          <t>Тех. обслуживание и тек. ремонт</t>
        </is>
      </c>
      <c r="C21" s="26" t="n"/>
      <c r="D21" s="26" t="n"/>
      <c r="E21" s="26" t="n"/>
      <c r="F21" s="4" t="n"/>
      <c r="G21" s="4" t="n"/>
      <c r="H21" s="26" t="n"/>
      <c r="I21" s="26" t="n"/>
      <c r="J21" s="26" t="n"/>
      <c r="K21" s="26" t="n"/>
    </row>
    <row r="22">
      <c r="A22" s="4" t="n">
        <v>12</v>
      </c>
      <c r="B22" s="4" t="inlineStr">
        <is>
          <t>нежилого здания</t>
        </is>
      </c>
      <c r="C22" s="26" t="n">
        <v>114.5</v>
      </c>
      <c r="D22" s="26" t="n"/>
      <c r="E22" s="26" t="n"/>
      <c r="F22" s="4" t="inlineStr">
        <is>
          <t>кв.метр</t>
        </is>
      </c>
      <c r="G22" s="4" t="n">
        <v>59.9</v>
      </c>
      <c r="H22" s="26" t="n">
        <v>2.43</v>
      </c>
      <c r="I22" s="26">
        <f>G22*H22</f>
        <v/>
      </c>
      <c r="J22" s="26" t="n"/>
      <c r="K22" s="26">
        <f>I22-J22</f>
        <v/>
      </c>
    </row>
    <row r="23">
      <c r="A23" s="4" t="n">
        <v>13</v>
      </c>
      <c r="B23" s="4" t="inlineStr">
        <is>
          <t>внутридомовых систем водоснабж. и кан.</t>
        </is>
      </c>
      <c r="C23" s="26" t="n">
        <v>115.96</v>
      </c>
      <c r="D23" s="26" t="n"/>
      <c r="E23" s="26" t="n"/>
      <c r="F23" s="4" t="inlineStr">
        <is>
          <t>кв.метр</t>
        </is>
      </c>
      <c r="G23" s="4" t="n">
        <v>59.9</v>
      </c>
      <c r="H23" s="26" t="n">
        <v>1.95</v>
      </c>
      <c r="I23" s="26">
        <f>G23*H23</f>
        <v/>
      </c>
      <c r="J23" s="26" t="n"/>
      <c r="K23" s="26">
        <f>I23-J23</f>
        <v/>
      </c>
    </row>
    <row r="24">
      <c r="A24" s="4" t="n">
        <v>14</v>
      </c>
      <c r="B24" s="4" t="inlineStr">
        <is>
          <t>внутридомовых систем центр. отопления</t>
        </is>
      </c>
      <c r="C24" s="26" t="n">
        <v>83.25</v>
      </c>
      <c r="D24" s="26" t="n"/>
      <c r="E24" s="26" t="n"/>
      <c r="F24" s="4" t="inlineStr">
        <is>
          <t>кв.метр</t>
        </is>
      </c>
      <c r="G24" s="4" t="n">
        <v>59.9</v>
      </c>
      <c r="H24" s="26" t="n">
        <v>1.4</v>
      </c>
      <c r="I24" s="26">
        <f>G24*H24</f>
        <v/>
      </c>
      <c r="J24" s="26" t="n"/>
      <c r="K24" s="26">
        <f>I24-J24</f>
        <v/>
      </c>
    </row>
    <row r="25">
      <c r="A25" s="4" t="n">
        <v>15</v>
      </c>
      <c r="B25" s="4" t="inlineStr">
        <is>
          <t>внутридомовых сетей эл. снаб. и эл. обор.</t>
        </is>
      </c>
      <c r="C25" s="26" t="n">
        <v>48.76</v>
      </c>
      <c r="D25" s="26" t="n"/>
      <c r="E25" s="26" t="n"/>
      <c r="F25" s="4" t="inlineStr">
        <is>
          <t>кв.метр</t>
        </is>
      </c>
      <c r="G25" s="4" t="n">
        <v>59.9</v>
      </c>
      <c r="H25" s="26" t="n">
        <v>0.82</v>
      </c>
      <c r="I25" s="26">
        <f>G25*H25</f>
        <v/>
      </c>
      <c r="J25" s="26" t="n"/>
      <c r="K25" s="26">
        <f>I25-J25</f>
        <v/>
      </c>
    </row>
    <row r="26">
      <c r="A26" s="6" t="n"/>
      <c r="B26" s="6" t="inlineStr">
        <is>
          <t>Итого по жилищным услугам</t>
        </is>
      </c>
      <c r="C26" s="27">
        <f>C15+C16+C17+C18+C19+C20+C22+C23+C24+C25</f>
        <v/>
      </c>
      <c r="D26" s="27">
        <f>D15+D16+D17+D18+D19+D20+D22+D23+D24+D25</f>
        <v/>
      </c>
      <c r="E26" s="27">
        <f>E15+E16+E17+E18+E19+E20+E22+E23+E24+E25</f>
        <v/>
      </c>
      <c r="F26" s="6" t="n"/>
      <c r="G26" s="6" t="n"/>
      <c r="H26" s="27" t="n"/>
      <c r="I26" s="27">
        <f>I15+I16+I17+I18+I19+I20+I22+I23+I24+I25</f>
        <v/>
      </c>
      <c r="J26" s="27">
        <f>J15+J16+J17+J18+J19+J20+J22+J23+J24+J25</f>
        <v/>
      </c>
      <c r="K26" s="27">
        <f>K15+K16+K17+K18+K19+K20+K22+K23+K24+K25</f>
        <v/>
      </c>
    </row>
    <row r="27">
      <c r="A27" s="4" t="n"/>
      <c r="B27" s="4" t="n"/>
      <c r="C27" s="26" t="n"/>
      <c r="D27" s="26" t="n"/>
      <c r="E27" s="26" t="n"/>
      <c r="F27" s="4" t="n"/>
      <c r="G27" s="4" t="n"/>
      <c r="H27" s="26" t="n"/>
      <c r="I27" s="26" t="n"/>
      <c r="J27" s="26" t="n"/>
      <c r="K27" s="26" t="n"/>
    </row>
    <row r="28">
      <c r="A28" s="4" t="n"/>
      <c r="B28" s="4" t="n"/>
      <c r="C28" s="26" t="n"/>
      <c r="D28" s="26" t="n"/>
      <c r="E28" s="26" t="n"/>
      <c r="F28" s="4" t="n"/>
      <c r="G28" s="4" t="n"/>
      <c r="H28" s="26" t="n"/>
      <c r="I28" s="26" t="n"/>
      <c r="J28" s="26" t="n"/>
      <c r="K28" s="26" t="n"/>
    </row>
    <row r="29">
      <c r="A29" s="4" t="n"/>
      <c r="B29" s="4" t="n"/>
      <c r="C29" s="26" t="n"/>
      <c r="D29" s="26" t="n"/>
      <c r="E29" s="26" t="n"/>
      <c r="F29" s="4" t="n"/>
      <c r="G29" s="4" t="n"/>
      <c r="H29" s="26" t="n"/>
      <c r="I29" s="26" t="n"/>
      <c r="J29" s="26" t="n"/>
      <c r="K29" s="26" t="n"/>
    </row>
    <row r="30">
      <c r="A30" s="4" t="n"/>
      <c r="B30" s="4" t="n"/>
      <c r="C30" s="26" t="n"/>
      <c r="D30" s="26" t="n"/>
      <c r="E30" s="26" t="n"/>
      <c r="F30" s="4" t="n"/>
      <c r="G30" s="4" t="n"/>
      <c r="H30" s="26" t="n"/>
      <c r="I30" s="26" t="n"/>
      <c r="J30" s="26" t="n"/>
      <c r="K30" s="26" t="n"/>
    </row>
    <row r="31">
      <c r="A31" s="4" t="n"/>
      <c r="B31" s="4" t="n"/>
      <c r="C31" s="26" t="n"/>
      <c r="D31" s="26" t="n"/>
      <c r="E31" s="26" t="n"/>
      <c r="F31" s="4" t="n"/>
      <c r="G31" s="4" t="n"/>
      <c r="H31" s="26" t="n"/>
      <c r="I31" s="26" t="n"/>
      <c r="J31" s="26" t="n"/>
      <c r="K31" s="26" t="n"/>
    </row>
    <row r="32">
      <c r="A32" s="4" t="n"/>
      <c r="B32" s="4" t="n"/>
      <c r="C32" s="26" t="n"/>
      <c r="D32" s="26" t="n"/>
      <c r="E32" s="26" t="n"/>
      <c r="F32" s="4" t="n"/>
      <c r="G32" s="4" t="n"/>
      <c r="H32" s="26" t="n"/>
      <c r="I32" s="26" t="n"/>
      <c r="J32" s="26" t="n"/>
      <c r="K32" s="26" t="n"/>
    </row>
    <row r="33">
      <c r="A33" s="4" t="n"/>
      <c r="B33" s="4" t="n"/>
      <c r="C33" s="26" t="n"/>
      <c r="D33" s="26" t="n"/>
      <c r="E33" s="26" t="n"/>
      <c r="F33" s="4" t="n"/>
      <c r="G33" s="4" t="n"/>
      <c r="H33" s="26" t="n"/>
      <c r="I33" s="26" t="n"/>
      <c r="J33" s="26" t="n"/>
      <c r="K33" s="26" t="n"/>
    </row>
    <row r="34">
      <c r="A34" s="4" t="n"/>
      <c r="B34" s="4" t="n"/>
      <c r="C34" s="26" t="n"/>
      <c r="D34" s="26" t="n"/>
      <c r="E34" s="26" t="n"/>
      <c r="F34" s="4" t="n"/>
      <c r="G34" s="4" t="n"/>
      <c r="H34" s="26" t="n"/>
      <c r="I34" s="26" t="n"/>
      <c r="J34" s="26" t="n"/>
      <c r="K34" s="26" t="n"/>
    </row>
    <row r="35">
      <c r="A35" s="4" t="n"/>
      <c r="B35" s="6" t="inlineStr">
        <is>
          <t>Итого</t>
        </is>
      </c>
      <c r="C35" s="27">
        <f>C14+C26</f>
        <v/>
      </c>
      <c r="D35" s="27">
        <f>D14+D26</f>
        <v/>
      </c>
      <c r="E35" s="27">
        <f>E14+E26</f>
        <v/>
      </c>
      <c r="F35" s="4" t="n"/>
      <c r="G35" s="4" t="n"/>
      <c r="H35" s="26" t="n"/>
      <c r="I35" s="27">
        <f>I14+I26</f>
        <v/>
      </c>
      <c r="J35" s="27">
        <f>J14+J26</f>
        <v/>
      </c>
      <c r="K35" s="27">
        <f>K14+K26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A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</cols>
  <sheetData>
    <row r="1">
      <c r="B1" s="10" t="inlineStr">
        <is>
          <t>Стоимость коттеджей</t>
        </is>
      </c>
    </row>
    <row r="3">
      <c r="B3" s="4" t="inlineStr">
        <is>
          <t>тариф</t>
        </is>
      </c>
      <c r="C3" s="28" t="n">
        <v>1000</v>
      </c>
    </row>
    <row r="4">
      <c r="A4" t="inlineStr">
        <is>
          <t>площадь коттеджа (кв м)</t>
        </is>
      </c>
      <c r="B4" s="4" t="n"/>
      <c r="C4" s="4" t="n">
        <v>100</v>
      </c>
    </row>
    <row r="6">
      <c r="B6" s="4" t="inlineStr">
        <is>
          <t>метраж</t>
        </is>
      </c>
      <c r="C6" s="29">
        <f>C3*C4*C17</f>
        <v/>
      </c>
    </row>
    <row r="7">
      <c r="B7" s="4" t="n">
        <v>100</v>
      </c>
      <c r="C7" s="29">
        <f>$C$3*B7*$C$17</f>
        <v/>
      </c>
    </row>
    <row r="8">
      <c r="B8" s="4" t="n">
        <v>150</v>
      </c>
      <c r="C8" s="29">
        <f>$C$3*B8*$C$17</f>
        <v/>
      </c>
    </row>
    <row r="9">
      <c r="B9" s="4" t="n">
        <v>200</v>
      </c>
      <c r="C9" s="29">
        <f>$C$3*B9*$C$17</f>
        <v/>
      </c>
    </row>
    <row r="10">
      <c r="B10" s="4" t="n">
        <v>250</v>
      </c>
      <c r="C10" s="29">
        <f>$C$3*B10*$C$17</f>
        <v/>
      </c>
    </row>
    <row r="11">
      <c r="B11" s="4" t="n">
        <v>300</v>
      </c>
      <c r="C11" s="29">
        <f>$C$3*B11*$C$17</f>
        <v/>
      </c>
    </row>
    <row r="12">
      <c r="B12" s="4" t="n">
        <v>350</v>
      </c>
      <c r="C12" s="29">
        <f>$C$3*B12*$C$17</f>
        <v/>
      </c>
    </row>
    <row r="13">
      <c r="B13" s="4" t="n">
        <v>400</v>
      </c>
      <c r="C13" s="29">
        <f>$C$3*B13*$C$17</f>
        <v/>
      </c>
    </row>
    <row r="14">
      <c r="B14" s="4" t="n">
        <v>450</v>
      </c>
      <c r="C14" s="29">
        <f>$C$3*B14*$C$17</f>
        <v/>
      </c>
    </row>
    <row r="15">
      <c r="B15" s="4" t="n">
        <v>500</v>
      </c>
      <c r="C15" s="29">
        <f>$C$3*B15*$C$17</f>
        <v/>
      </c>
    </row>
    <row r="17">
      <c r="A17" s="4" t="inlineStr">
        <is>
          <t>Курс доллара</t>
        </is>
      </c>
      <c r="B17" s="4" t="n"/>
      <c r="C17" s="30" t="n">
        <v>28.1</v>
      </c>
    </row>
  </sheetData>
  <mergeCells count="1">
    <mergeCell ref="B1:C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Занятая сумма</t>
        </is>
      </c>
      <c r="B1" s="29" t="n">
        <v>100000</v>
      </c>
    </row>
    <row r="2">
      <c r="A2" s="4" t="inlineStr">
        <is>
          <t>Срок (мес.)</t>
        </is>
      </c>
      <c r="B2" s="4" t="n">
        <v>10</v>
      </c>
    </row>
    <row r="3">
      <c r="A3" s="4" t="inlineStr">
        <is>
          <t>Процентная ставка</t>
        </is>
      </c>
      <c r="B3" s="9" t="n">
        <v>0.05</v>
      </c>
    </row>
    <row r="4">
      <c r="A4" s="4" t="inlineStr">
        <is>
          <t>Сумма к возврату</t>
        </is>
      </c>
      <c r="B4" s="29">
        <f>B1*(1+B3*B2)</f>
        <v/>
      </c>
    </row>
    <row r="6">
      <c r="A6" s="11" t="inlineStr">
        <is>
          <t>Подбор параметра: ячейка B4 → 150 000, изменяя B3. Получилась ставка 5% в месяц.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Прибыль от магазина одежды</t>
        </is>
      </c>
      <c r="B1" s="29" t="n">
        <v>50000</v>
      </c>
    </row>
    <row r="2">
      <c r="A2" s="4" t="inlineStr">
        <is>
          <t>Прибыль от ресторана</t>
        </is>
      </c>
      <c r="B2" s="29" t="n">
        <v>50000</v>
      </c>
    </row>
    <row r="3">
      <c r="A3" s="4" t="inlineStr">
        <is>
          <t>Прибыль от салона красоты</t>
        </is>
      </c>
      <c r="B3" s="29" t="n">
        <v>50000</v>
      </c>
    </row>
    <row r="4">
      <c r="A4" s="4" t="inlineStr">
        <is>
          <t>Расход на всех сотрудников</t>
        </is>
      </c>
      <c r="B4" s="29" t="n">
        <v>30000</v>
      </c>
    </row>
    <row r="5">
      <c r="A5" s="6" t="inlineStr">
        <is>
          <t>Общий доход</t>
        </is>
      </c>
      <c r="B5" s="31">
        <f>SUM(B1:B3)-B4</f>
        <v/>
      </c>
    </row>
    <row r="8">
      <c r="A8" s="2" t="inlineStr">
        <is>
          <t>Сводка по сценариям</t>
        </is>
      </c>
    </row>
    <row r="9">
      <c r="A9" s="3" t="inlineStr"/>
      <c r="B9" s="3" t="inlineStr">
        <is>
          <t>Нормальная работа</t>
        </is>
      </c>
      <c r="C9" s="3" t="inlineStr">
        <is>
          <t>Разорение</t>
        </is>
      </c>
      <c r="D9" s="3" t="inlineStr">
        <is>
          <t>Процветание</t>
        </is>
      </c>
    </row>
    <row r="10">
      <c r="A10" s="4" t="inlineStr">
        <is>
          <t>Прибыль от магазина одежды</t>
        </is>
      </c>
      <c r="B10" s="29" t="n">
        <v>50000</v>
      </c>
      <c r="C10" s="29" t="n">
        <v>8000</v>
      </c>
      <c r="D10" s="29" t="n">
        <v>85000</v>
      </c>
    </row>
    <row r="11">
      <c r="A11" s="4" t="inlineStr">
        <is>
          <t>Прибыль от ресторана</t>
        </is>
      </c>
      <c r="B11" s="29" t="n">
        <v>50000</v>
      </c>
      <c r="C11" s="29" t="n">
        <v>5000</v>
      </c>
      <c r="D11" s="29" t="n">
        <v>90000</v>
      </c>
    </row>
    <row r="12">
      <c r="A12" s="4" t="inlineStr">
        <is>
          <t>Прибыль от салона красоты</t>
        </is>
      </c>
      <c r="B12" s="29" t="n">
        <v>50000</v>
      </c>
      <c r="C12" s="29" t="n">
        <v>7000</v>
      </c>
      <c r="D12" s="29" t="n">
        <v>70000</v>
      </c>
    </row>
    <row r="13">
      <c r="A13" s="4" t="inlineStr">
        <is>
          <t>Расход на всех сотрудников</t>
        </is>
      </c>
      <c r="B13" s="29" t="n">
        <v>30000</v>
      </c>
      <c r="C13" s="29" t="n">
        <v>30000</v>
      </c>
      <c r="D13" s="29" t="n">
        <v>40000</v>
      </c>
    </row>
    <row r="14">
      <c r="A14" s="6" t="inlineStr">
        <is>
          <t>Общий доход</t>
        </is>
      </c>
      <c r="B14" s="31">
        <f>SUM(B10:B12)-B13</f>
        <v/>
      </c>
      <c r="C14" s="31">
        <f>SUM(C10:C12)-C13</f>
        <v/>
      </c>
      <c r="D14" s="31">
        <f>SUM(D10:D12)-D13</f>
        <v/>
      </c>
    </row>
    <row r="16">
      <c r="A16" s="11" t="inlineStr">
        <is>
          <t>Значения в B1:B4 — сценарий «Нормальная работа». Остальные два набора значений записаны в сводке выше.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7" customWidth="1" min="4" max="4"/>
  </cols>
  <sheetData>
    <row r="1">
      <c r="A1" s="10" t="inlineStr">
        <is>
          <t>Подарки на 8 марта</t>
        </is>
      </c>
    </row>
    <row r="3">
      <c r="A3" s="3" t="inlineStr">
        <is>
          <t>Покупки</t>
        </is>
      </c>
      <c r="B3" s="3" t="inlineStr">
        <is>
          <t>Кол-во</t>
        </is>
      </c>
      <c r="C3" s="3" t="inlineStr">
        <is>
          <t>Цена</t>
        </is>
      </c>
      <c r="D3" s="3" t="inlineStr">
        <is>
          <t>Общая стоимость</t>
        </is>
      </c>
    </row>
    <row r="4">
      <c r="A4" s="4" t="inlineStr">
        <is>
          <t>Букет тюльпанов</t>
        </is>
      </c>
      <c r="B4" s="4" t="n">
        <v>10</v>
      </c>
      <c r="C4" s="4" t="n">
        <v>500</v>
      </c>
      <c r="D4" s="4">
        <f>B4*C4</f>
        <v/>
      </c>
    </row>
    <row r="5">
      <c r="A5" s="4" t="inlineStr">
        <is>
          <t>Духи Chanel</t>
        </is>
      </c>
      <c r="B5" s="4" t="n">
        <v>5</v>
      </c>
      <c r="C5" s="4" t="n">
        <v>2000</v>
      </c>
      <c r="D5" s="4">
        <f>B5*C5</f>
        <v/>
      </c>
    </row>
    <row r="6">
      <c r="A6" s="4" t="inlineStr">
        <is>
          <t>Подарочный сертификат</t>
        </is>
      </c>
      <c r="B6" s="4" t="n">
        <v>3</v>
      </c>
      <c r="C6" s="4" t="n">
        <v>1000</v>
      </c>
      <c r="D6" s="4">
        <f>B6*C6</f>
        <v/>
      </c>
    </row>
    <row r="7">
      <c r="A7" s="4" t="inlineStr">
        <is>
          <t>Шоколадные конфеты</t>
        </is>
      </c>
      <c r="B7" s="4">
        <f>2*B4</f>
        <v/>
      </c>
      <c r="C7" s="4" t="n">
        <v>150</v>
      </c>
      <c r="D7" s="4">
        <f>B7*C7</f>
        <v/>
      </c>
    </row>
    <row r="8">
      <c r="A8" s="6" t="inlineStr">
        <is>
          <t>Итого</t>
        </is>
      </c>
      <c r="B8" s="4" t="n"/>
      <c r="C8" s="4" t="n"/>
      <c r="D8" s="6">
        <f>SUM(D4:D7)</f>
        <v/>
      </c>
    </row>
    <row r="10">
      <c r="A10" s="11" t="inlineStr">
        <is>
          <t>Поиск решения: цель D8 = 21 000, изменяя B4; B7 = 2·B4 (конфет вдвое больше тюльпанов). Получилось 10 букетов и 20 коробок конфет.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2" t="inlineStr">
        <is>
          <t>Абоненты</t>
        </is>
      </c>
      <c r="B1" s="32" t="inlineStr">
        <is>
          <t>Лицевой счет</t>
        </is>
      </c>
    </row>
    <row r="2">
      <c r="A2" s="33" t="inlineStr">
        <is>
          <t>Смирнов Алексей</t>
        </is>
      </c>
      <c r="B2" s="34" t="n">
        <v>103389230</v>
      </c>
    </row>
    <row r="3">
      <c r="A3" s="33" t="inlineStr">
        <is>
          <t>Петров Петр</t>
        </is>
      </c>
      <c r="B3" s="34" t="n">
        <v>103546372</v>
      </c>
    </row>
    <row r="4">
      <c r="A4" s="33" t="inlineStr">
        <is>
          <t>Сидоров Марат</t>
        </is>
      </c>
      <c r="B4" s="34" t="n">
        <v>105664835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48" customHeight="1">
      <c r="A1" s="35" t="inlineStr">
        <is>
          <t>Стоимость трафика на внутренние ресурсы (1 мб)</t>
        </is>
      </c>
      <c r="B1" s="35" t="inlineStr">
        <is>
          <t>Стоимость трафика внешние ресурсы (1 мб)</t>
        </is>
      </c>
    </row>
    <row r="2">
      <c r="A2" s="36" t="n">
        <v>0.5</v>
      </c>
      <c r="B2" s="37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6" customWidth="1" min="3" max="3"/>
    <col width="26" customWidth="1" min="4" max="4"/>
  </cols>
  <sheetData>
    <row r="1" ht="62" customHeight="1">
      <c r="A1" s="38" t="inlineStr">
        <is>
          <t>Абоненты</t>
        </is>
      </c>
      <c r="B1" s="38" t="inlineStr">
        <is>
          <t>Дата</t>
        </is>
      </c>
      <c r="C1" s="38" t="inlineStr">
        <is>
          <t>Количество исходящего трафика на внутренние ресурсы (в мб)</t>
        </is>
      </c>
      <c r="D1" s="38" t="inlineStr">
        <is>
          <t>Количество исходящего трафика на внешние ресурсы (в мб)</t>
        </is>
      </c>
    </row>
    <row r="2">
      <c r="A2" s="39" t="inlineStr">
        <is>
          <t>Смирнов Алексей</t>
        </is>
      </c>
      <c r="B2" s="40" t="n">
        <v>40330</v>
      </c>
      <c r="C2" s="41" t="n">
        <v>13</v>
      </c>
      <c r="D2" s="42" t="n">
        <v>2</v>
      </c>
    </row>
    <row r="3">
      <c r="A3" s="39" t="inlineStr">
        <is>
          <t>Смирнов Алексей</t>
        </is>
      </c>
      <c r="B3" s="40" t="n">
        <v>40331</v>
      </c>
      <c r="C3" s="41" t="n">
        <v>21</v>
      </c>
      <c r="D3" s="42" t="n">
        <v>0</v>
      </c>
    </row>
    <row r="4">
      <c r="A4" s="39" t="inlineStr">
        <is>
          <t>Смирнов Алексей</t>
        </is>
      </c>
      <c r="B4" s="40" t="n">
        <v>40332</v>
      </c>
      <c r="C4" s="41" t="n">
        <v>1</v>
      </c>
      <c r="D4" s="42" t="n">
        <v>1</v>
      </c>
    </row>
    <row r="5">
      <c r="A5" s="39" t="inlineStr">
        <is>
          <t>Смирнов Алексей</t>
        </is>
      </c>
      <c r="B5" s="40" t="n">
        <v>40333</v>
      </c>
      <c r="C5" s="41" t="n">
        <v>19</v>
      </c>
      <c r="D5" s="42" t="n">
        <v>0</v>
      </c>
    </row>
    <row r="6">
      <c r="A6" s="39" t="inlineStr">
        <is>
          <t>Смирнов Алексей</t>
        </is>
      </c>
      <c r="B6" s="40" t="n">
        <v>40334</v>
      </c>
      <c r="C6" s="41" t="n">
        <v>5</v>
      </c>
      <c r="D6" s="42" t="n">
        <v>0</v>
      </c>
    </row>
    <row r="7">
      <c r="A7" s="39" t="inlineStr">
        <is>
          <t>Смирнов Алексей</t>
        </is>
      </c>
      <c r="B7" s="40" t="n">
        <v>40335</v>
      </c>
      <c r="C7" s="41" t="n">
        <v>1</v>
      </c>
      <c r="D7" s="42" t="n">
        <v>23</v>
      </c>
    </row>
    <row r="8">
      <c r="A8" s="39" t="inlineStr">
        <is>
          <t>Смирнов Алексей</t>
        </is>
      </c>
      <c r="B8" s="40" t="n">
        <v>40336</v>
      </c>
      <c r="C8" s="41" t="n">
        <v>0.5</v>
      </c>
      <c r="D8" s="42" t="n">
        <v>0</v>
      </c>
    </row>
    <row r="9">
      <c r="A9" s="39" t="inlineStr">
        <is>
          <t>Смирнов Алексей</t>
        </is>
      </c>
      <c r="B9" s="40" t="n">
        <v>40337</v>
      </c>
      <c r="C9" s="41" t="n">
        <v>6</v>
      </c>
      <c r="D9" s="42" t="n">
        <v>0</v>
      </c>
    </row>
    <row r="10">
      <c r="A10" s="39" t="inlineStr">
        <is>
          <t>Смирнов Алексей</t>
        </is>
      </c>
      <c r="B10" s="40" t="n">
        <v>40338</v>
      </c>
      <c r="C10" s="41" t="n">
        <v>0.5</v>
      </c>
      <c r="D10" s="42" t="n">
        <v>0</v>
      </c>
    </row>
    <row r="11">
      <c r="A11" s="39" t="inlineStr">
        <is>
          <t>Смирнов Алексей</t>
        </is>
      </c>
      <c r="B11" s="40" t="n">
        <v>40339</v>
      </c>
      <c r="C11" s="41" t="n">
        <v>2</v>
      </c>
      <c r="D11" s="42" t="n">
        <v>4.5</v>
      </c>
    </row>
    <row r="12">
      <c r="A12" s="39" t="inlineStr">
        <is>
          <t>Смирнов Алексей</t>
        </is>
      </c>
      <c r="B12" s="40" t="n">
        <v>40340</v>
      </c>
      <c r="C12" s="41" t="n">
        <v>0</v>
      </c>
      <c r="D12" s="42" t="n">
        <v>15</v>
      </c>
    </row>
    <row r="13">
      <c r="A13" s="39" t="inlineStr">
        <is>
          <t>Смирнов Алексей</t>
        </is>
      </c>
      <c r="B13" s="40" t="n">
        <v>40341</v>
      </c>
      <c r="C13" s="41" t="n">
        <v>0</v>
      </c>
      <c r="D13" s="42" t="n">
        <v>4.5</v>
      </c>
    </row>
    <row r="14">
      <c r="A14" s="39" t="inlineStr">
        <is>
          <t>Смирнов Алексей</t>
        </is>
      </c>
      <c r="B14" s="40" t="n">
        <v>40342</v>
      </c>
      <c r="C14" s="41" t="n">
        <v>0</v>
      </c>
      <c r="D14" s="42" t="n">
        <v>2</v>
      </c>
    </row>
    <row r="15">
      <c r="A15" s="39" t="inlineStr">
        <is>
          <t>Смирнов Алексей</t>
        </is>
      </c>
      <c r="B15" s="40" t="n">
        <v>40343</v>
      </c>
      <c r="C15" s="41" t="n">
        <v>12</v>
      </c>
      <c r="D15" s="42" t="n">
        <v>23</v>
      </c>
    </row>
    <row r="16">
      <c r="A16" s="39" t="inlineStr">
        <is>
          <t>Смирнов Алексей</t>
        </is>
      </c>
      <c r="B16" s="40" t="n">
        <v>40344</v>
      </c>
      <c r="C16" s="41" t="n">
        <v>3</v>
      </c>
      <c r="D16" s="42" t="n">
        <v>1</v>
      </c>
    </row>
    <row r="17">
      <c r="A17" s="39" t="inlineStr">
        <is>
          <t>Смирнов Алексей</t>
        </is>
      </c>
      <c r="B17" s="40" t="n">
        <v>40345</v>
      </c>
      <c r="C17" s="41" t="n">
        <v>12</v>
      </c>
      <c r="D17" s="42" t="n">
        <v>3</v>
      </c>
    </row>
    <row r="18">
      <c r="A18" s="39" t="inlineStr">
        <is>
          <t>Смирнов Алексей</t>
        </is>
      </c>
      <c r="B18" s="40" t="n">
        <v>40346</v>
      </c>
      <c r="C18" s="41" t="n">
        <v>2</v>
      </c>
      <c r="D18" s="42" t="n">
        <v>3.4</v>
      </c>
    </row>
    <row r="19">
      <c r="A19" s="39" t="inlineStr">
        <is>
          <t>Смирнов Алексей</t>
        </is>
      </c>
      <c r="B19" s="40" t="n">
        <v>40347</v>
      </c>
      <c r="C19" s="41" t="n">
        <v>19</v>
      </c>
      <c r="D19" s="42" t="n">
        <v>1</v>
      </c>
    </row>
    <row r="20">
      <c r="A20" s="39" t="inlineStr">
        <is>
          <t>Смирнов Алексей</t>
        </is>
      </c>
      <c r="B20" s="40" t="n">
        <v>40348</v>
      </c>
      <c r="C20" s="41" t="n">
        <v>1</v>
      </c>
      <c r="D20" s="42" t="n">
        <v>0</v>
      </c>
    </row>
    <row r="21">
      <c r="A21" s="39" t="inlineStr">
        <is>
          <t>Смирнов Алексей</t>
        </is>
      </c>
      <c r="B21" s="40" t="n">
        <v>40349</v>
      </c>
      <c r="C21" s="41" t="n">
        <v>5</v>
      </c>
      <c r="D21" s="42" t="n">
        <v>7.5</v>
      </c>
    </row>
    <row r="22">
      <c r="A22" s="39" t="inlineStr">
        <is>
          <t>Смирнов Алексей</t>
        </is>
      </c>
      <c r="B22" s="40" t="n">
        <v>40350</v>
      </c>
      <c r="C22" s="41" t="n">
        <v>0.5</v>
      </c>
      <c r="D22" s="42" t="n">
        <v>11</v>
      </c>
    </row>
    <row r="23">
      <c r="A23" s="39" t="inlineStr">
        <is>
          <t>Смирнов Алексей</t>
        </is>
      </c>
      <c r="B23" s="40" t="n">
        <v>40351</v>
      </c>
      <c r="C23" s="41" t="n">
        <v>0.9</v>
      </c>
      <c r="D23" s="42" t="n">
        <v>0.5</v>
      </c>
    </row>
    <row r="24">
      <c r="A24" s="39" t="inlineStr">
        <is>
          <t>Смирнов Алексей</t>
        </is>
      </c>
      <c r="B24" s="40" t="n">
        <v>40352</v>
      </c>
      <c r="C24" s="41" t="n">
        <v>19</v>
      </c>
      <c r="D24" s="42" t="n">
        <v>9</v>
      </c>
    </row>
    <row r="25">
      <c r="A25" s="39" t="inlineStr">
        <is>
          <t>Смирнов Алексей</t>
        </is>
      </c>
      <c r="B25" s="40" t="n">
        <v>40353</v>
      </c>
      <c r="C25" s="41" t="n">
        <v>6</v>
      </c>
      <c r="D25" s="42" t="n">
        <v>3</v>
      </c>
    </row>
    <row r="26">
      <c r="A26" s="39" t="inlineStr">
        <is>
          <t>Смирнов Алексей</t>
        </is>
      </c>
      <c r="B26" s="40" t="n">
        <v>40354</v>
      </c>
      <c r="C26" s="41" t="n">
        <v>6</v>
      </c>
      <c r="D26" s="42" t="n">
        <v>0</v>
      </c>
    </row>
    <row r="27">
      <c r="A27" s="39" t="inlineStr">
        <is>
          <t>Смирнов Алексей</t>
        </is>
      </c>
      <c r="B27" s="40" t="n">
        <v>40355</v>
      </c>
      <c r="C27" s="41" t="n">
        <v>12</v>
      </c>
      <c r="D27" s="42" t="n">
        <v>7.5</v>
      </c>
    </row>
    <row r="28">
      <c r="A28" s="39" t="inlineStr">
        <is>
          <t>Смирнов Алексей</t>
        </is>
      </c>
      <c r="B28" s="40" t="n">
        <v>40356</v>
      </c>
      <c r="C28" s="41" t="n">
        <v>13</v>
      </c>
      <c r="D28" s="42" t="n">
        <v>0.5</v>
      </c>
    </row>
    <row r="29">
      <c r="A29" s="39" t="inlineStr">
        <is>
          <t>Смирнов Алексей</t>
        </is>
      </c>
      <c r="B29" s="40" t="n">
        <v>40357</v>
      </c>
      <c r="C29" s="41" t="n">
        <v>12</v>
      </c>
      <c r="D29" s="42" t="n">
        <v>0</v>
      </c>
    </row>
    <row r="30">
      <c r="A30" s="39" t="inlineStr">
        <is>
          <t>Смирнов Алексей</t>
        </is>
      </c>
      <c r="B30" s="40" t="n">
        <v>40358</v>
      </c>
      <c r="C30" s="41" t="n">
        <v>2</v>
      </c>
      <c r="D30" s="42" t="n">
        <v>23</v>
      </c>
    </row>
    <row r="31">
      <c r="A31" s="39" t="inlineStr">
        <is>
          <t>Смирнов Алексей</t>
        </is>
      </c>
      <c r="B31" s="40" t="n">
        <v>40359</v>
      </c>
      <c r="C31" s="41" t="n">
        <v>4</v>
      </c>
      <c r="D31" s="42" t="n">
        <v>11</v>
      </c>
    </row>
    <row r="32">
      <c r="A32" s="39" t="inlineStr">
        <is>
          <t>Петров Петр</t>
        </is>
      </c>
      <c r="B32" s="40" t="n">
        <v>40330</v>
      </c>
      <c r="C32" s="41" t="n">
        <v>3</v>
      </c>
      <c r="D32" s="42" t="n">
        <v>7.5</v>
      </c>
    </row>
    <row r="33">
      <c r="A33" s="39" t="inlineStr">
        <is>
          <t>Петров Петр</t>
        </is>
      </c>
      <c r="B33" s="40" t="n">
        <v>40331</v>
      </c>
      <c r="C33" s="41" t="n">
        <v>0.5</v>
      </c>
      <c r="D33" s="42" t="n">
        <v>0</v>
      </c>
    </row>
    <row r="34">
      <c r="A34" s="39" t="inlineStr">
        <is>
          <t>Петров Петр</t>
        </is>
      </c>
      <c r="B34" s="40" t="n">
        <v>40332</v>
      </c>
      <c r="C34" s="41" t="n">
        <v>1</v>
      </c>
      <c r="D34" s="42" t="n">
        <v>11</v>
      </c>
    </row>
    <row r="35">
      <c r="A35" s="39" t="inlineStr">
        <is>
          <t>Петров Петр</t>
        </is>
      </c>
      <c r="B35" s="40" t="n">
        <v>40333</v>
      </c>
      <c r="C35" s="41" t="n">
        <v>13</v>
      </c>
      <c r="D35" s="42" t="n">
        <v>12</v>
      </c>
    </row>
    <row r="36">
      <c r="A36" s="39" t="inlineStr">
        <is>
          <t>Петров Петр</t>
        </is>
      </c>
      <c r="B36" s="40" t="n">
        <v>40334</v>
      </c>
      <c r="C36" s="41" t="n">
        <v>1.3</v>
      </c>
      <c r="D36" s="42" t="n">
        <v>0.5</v>
      </c>
    </row>
    <row r="37">
      <c r="A37" s="39" t="inlineStr">
        <is>
          <t>Петров Петр</t>
        </is>
      </c>
      <c r="B37" s="40" t="n">
        <v>40335</v>
      </c>
      <c r="C37" s="41" t="n">
        <v>1</v>
      </c>
      <c r="D37" s="42" t="n">
        <v>0</v>
      </c>
    </row>
    <row r="38">
      <c r="A38" s="39" t="inlineStr">
        <is>
          <t>Петров Петр</t>
        </is>
      </c>
      <c r="B38" s="40" t="n">
        <v>40336</v>
      </c>
      <c r="C38" s="41" t="n">
        <v>9</v>
      </c>
      <c r="D38" s="42" t="n">
        <v>7.5</v>
      </c>
    </row>
    <row r="39">
      <c r="A39" s="39" t="inlineStr">
        <is>
          <t>Петров Петр</t>
        </is>
      </c>
      <c r="B39" s="40" t="n">
        <v>40337</v>
      </c>
      <c r="C39" s="41" t="n">
        <v>1</v>
      </c>
      <c r="D39" s="42" t="n">
        <v>0</v>
      </c>
    </row>
    <row r="40">
      <c r="A40" s="39" t="inlineStr">
        <is>
          <t>Петров Петр</t>
        </is>
      </c>
      <c r="B40" s="40" t="n">
        <v>40338</v>
      </c>
      <c r="C40" s="41" t="n">
        <v>12</v>
      </c>
      <c r="D40" s="42" t="n">
        <v>0.5</v>
      </c>
    </row>
    <row r="41">
      <c r="A41" s="39" t="inlineStr">
        <is>
          <t>Петров Петр</t>
        </is>
      </c>
      <c r="B41" s="40" t="n">
        <v>40339</v>
      </c>
      <c r="C41" s="41" t="n">
        <v>12</v>
      </c>
      <c r="D41" s="42" t="n">
        <v>15</v>
      </c>
    </row>
    <row r="42">
      <c r="A42" s="39" t="inlineStr">
        <is>
          <t>Петров Петр</t>
        </is>
      </c>
      <c r="B42" s="40" t="n">
        <v>40340</v>
      </c>
      <c r="C42" s="41" t="n">
        <v>19</v>
      </c>
      <c r="D42" s="42" t="n">
        <v>0</v>
      </c>
    </row>
    <row r="43">
      <c r="A43" s="39" t="inlineStr">
        <is>
          <t>Петров Петр</t>
        </is>
      </c>
      <c r="B43" s="40" t="n">
        <v>40341</v>
      </c>
      <c r="C43" s="41" t="n">
        <v>0.9</v>
      </c>
      <c r="D43" s="42" t="n">
        <v>12</v>
      </c>
    </row>
    <row r="44">
      <c r="A44" s="39" t="inlineStr">
        <is>
          <t>Петров Петр</t>
        </is>
      </c>
      <c r="B44" s="40" t="n">
        <v>40342</v>
      </c>
      <c r="C44" s="41" t="n">
        <v>4</v>
      </c>
      <c r="D44" s="42" t="n">
        <v>1</v>
      </c>
    </row>
    <row r="45">
      <c r="A45" s="39" t="inlineStr">
        <is>
          <t>Петров Петр</t>
        </is>
      </c>
      <c r="B45" s="40" t="n">
        <v>40343</v>
      </c>
      <c r="C45" s="41" t="n">
        <v>1.3</v>
      </c>
      <c r="D45" s="42" t="n">
        <v>0</v>
      </c>
    </row>
    <row r="46">
      <c r="A46" s="39" t="inlineStr">
        <is>
          <t>Петров Петр</t>
        </is>
      </c>
      <c r="B46" s="40" t="n">
        <v>40344</v>
      </c>
      <c r="C46" s="41" t="n">
        <v>5</v>
      </c>
      <c r="D46" s="42" t="n">
        <v>9</v>
      </c>
    </row>
    <row r="47">
      <c r="A47" s="39" t="inlineStr">
        <is>
          <t>Петров Петр</t>
        </is>
      </c>
      <c r="B47" s="40" t="n">
        <v>40345</v>
      </c>
      <c r="C47" s="41" t="n">
        <v>3</v>
      </c>
      <c r="D47" s="42" t="n">
        <v>4.5</v>
      </c>
    </row>
    <row r="48">
      <c r="A48" s="39" t="inlineStr">
        <is>
          <t>Петров Петр</t>
        </is>
      </c>
      <c r="B48" s="40" t="n">
        <v>40346</v>
      </c>
      <c r="C48" s="41" t="n">
        <v>21</v>
      </c>
      <c r="D48" s="42" t="n">
        <v>15</v>
      </c>
    </row>
    <row r="49">
      <c r="A49" s="39" t="inlineStr">
        <is>
          <t>Петров Петр</t>
        </is>
      </c>
      <c r="B49" s="40" t="n">
        <v>40347</v>
      </c>
      <c r="C49" s="41" t="n">
        <v>1.3</v>
      </c>
      <c r="D49" s="42" t="n">
        <v>0</v>
      </c>
    </row>
    <row r="50">
      <c r="A50" s="39" t="inlineStr">
        <is>
          <t>Петров Петр</t>
        </is>
      </c>
      <c r="B50" s="40" t="n">
        <v>40348</v>
      </c>
      <c r="C50" s="41" t="n">
        <v>4</v>
      </c>
      <c r="D50" s="42" t="n">
        <v>0.5</v>
      </c>
    </row>
    <row r="51">
      <c r="A51" s="39" t="inlineStr">
        <is>
          <t>Петров Петр</t>
        </is>
      </c>
      <c r="B51" s="40" t="n">
        <v>40349</v>
      </c>
      <c r="C51" s="41" t="n">
        <v>21</v>
      </c>
      <c r="D51" s="42" t="n">
        <v>6.2</v>
      </c>
    </row>
    <row r="52">
      <c r="A52" s="39" t="inlineStr">
        <is>
          <t>Петров Петр</t>
        </is>
      </c>
      <c r="B52" s="40" t="n">
        <v>40350</v>
      </c>
      <c r="C52" s="41" t="n">
        <v>3</v>
      </c>
      <c r="D52" s="42" t="n">
        <v>23</v>
      </c>
    </row>
    <row r="53">
      <c r="A53" s="39" t="inlineStr">
        <is>
          <t>Петров Петр</t>
        </is>
      </c>
      <c r="B53" s="40" t="n">
        <v>40351</v>
      </c>
      <c r="C53" s="41" t="n">
        <v>9</v>
      </c>
      <c r="D53" s="42" t="n">
        <v>23</v>
      </c>
    </row>
    <row r="54">
      <c r="A54" s="39" t="inlineStr">
        <is>
          <t>Петров Петр</t>
        </is>
      </c>
      <c r="B54" s="40" t="n">
        <v>40352</v>
      </c>
      <c r="C54" s="41" t="n">
        <v>19</v>
      </c>
      <c r="D54" s="42" t="n">
        <v>15</v>
      </c>
    </row>
    <row r="55">
      <c r="A55" s="39" t="inlineStr">
        <is>
          <t>Петров Петр</t>
        </is>
      </c>
      <c r="B55" s="40" t="n">
        <v>40353</v>
      </c>
      <c r="C55" s="41" t="n">
        <v>6</v>
      </c>
      <c r="D55" s="42" t="n">
        <v>2</v>
      </c>
    </row>
    <row r="56">
      <c r="A56" s="39" t="inlineStr">
        <is>
          <t>Петров Петр</t>
        </is>
      </c>
      <c r="B56" s="40" t="n">
        <v>40354</v>
      </c>
      <c r="C56" s="41" t="n">
        <v>1</v>
      </c>
      <c r="D56" s="42" t="n">
        <v>3</v>
      </c>
    </row>
    <row r="57">
      <c r="A57" s="39" t="inlineStr">
        <is>
          <t>Петров Петр</t>
        </is>
      </c>
      <c r="B57" s="40" t="n">
        <v>40355</v>
      </c>
      <c r="C57" s="41" t="n">
        <v>3</v>
      </c>
      <c r="D57" s="42" t="n">
        <v>4.5</v>
      </c>
    </row>
    <row r="58">
      <c r="A58" s="39" t="inlineStr">
        <is>
          <t>Петров Петр</t>
        </is>
      </c>
      <c r="B58" s="40" t="n">
        <v>40356</v>
      </c>
      <c r="C58" s="41" t="n">
        <v>6</v>
      </c>
      <c r="D58" s="42" t="n">
        <v>0</v>
      </c>
    </row>
    <row r="59">
      <c r="A59" s="39" t="inlineStr">
        <is>
          <t>Петров Петр</t>
        </is>
      </c>
      <c r="B59" s="40" t="n">
        <v>40357</v>
      </c>
      <c r="C59" s="41" t="n">
        <v>1.3</v>
      </c>
      <c r="D59" s="42" t="n">
        <v>3</v>
      </c>
    </row>
    <row r="60">
      <c r="A60" s="39" t="inlineStr">
        <is>
          <t>Петров Петр</t>
        </is>
      </c>
      <c r="B60" s="40" t="n">
        <v>40358</v>
      </c>
      <c r="C60" s="41" t="n">
        <v>9</v>
      </c>
      <c r="D60" s="42" t="n">
        <v>9</v>
      </c>
    </row>
    <row r="61">
      <c r="A61" s="39" t="inlineStr">
        <is>
          <t>Петров Петр</t>
        </is>
      </c>
      <c r="B61" s="40" t="n">
        <v>40359</v>
      </c>
      <c r="C61" s="41" t="n">
        <v>0</v>
      </c>
      <c r="D61" s="42" t="n">
        <v>2</v>
      </c>
    </row>
    <row r="62">
      <c r="A62" s="39" t="inlineStr">
        <is>
          <t>Сидоров Марат</t>
        </is>
      </c>
      <c r="B62" s="40" t="n">
        <v>40330</v>
      </c>
      <c r="C62" s="41" t="n">
        <v>0.5</v>
      </c>
      <c r="D62" s="42" t="n">
        <v>12</v>
      </c>
    </row>
    <row r="63">
      <c r="A63" s="39" t="inlineStr">
        <is>
          <t>Сидоров Марат</t>
        </is>
      </c>
      <c r="B63" s="40" t="n">
        <v>40331</v>
      </c>
      <c r="C63" s="41" t="n">
        <v>13</v>
      </c>
      <c r="D63" s="42" t="n">
        <v>2</v>
      </c>
    </row>
    <row r="64">
      <c r="A64" s="39" t="inlineStr">
        <is>
          <t>Сидоров Марат</t>
        </is>
      </c>
      <c r="B64" s="40" t="n">
        <v>40332</v>
      </c>
      <c r="C64" s="41" t="n">
        <v>0</v>
      </c>
      <c r="D64" s="42" t="n">
        <v>0.5</v>
      </c>
    </row>
    <row r="65">
      <c r="A65" s="39" t="inlineStr">
        <is>
          <t>Сидоров Марат</t>
        </is>
      </c>
      <c r="B65" s="40" t="n">
        <v>40333</v>
      </c>
      <c r="C65" s="41" t="n">
        <v>21</v>
      </c>
      <c r="D65" s="42" t="n">
        <v>15</v>
      </c>
    </row>
    <row r="66">
      <c r="A66" s="39" t="inlineStr">
        <is>
          <t>Сидоров Марат</t>
        </is>
      </c>
      <c r="B66" s="40" t="n">
        <v>40334</v>
      </c>
      <c r="C66" s="41" t="n">
        <v>21</v>
      </c>
      <c r="D66" s="42" t="n">
        <v>15</v>
      </c>
    </row>
    <row r="67">
      <c r="A67" s="39" t="inlineStr">
        <is>
          <t>Сидоров Марат</t>
        </is>
      </c>
      <c r="B67" s="40" t="n">
        <v>40335</v>
      </c>
      <c r="C67" s="41" t="n">
        <v>2</v>
      </c>
      <c r="D67" s="42" t="n">
        <v>7.5</v>
      </c>
    </row>
    <row r="68">
      <c r="A68" s="39" t="inlineStr">
        <is>
          <t>Сидоров Марат</t>
        </is>
      </c>
      <c r="B68" s="40" t="n">
        <v>40336</v>
      </c>
      <c r="C68" s="41" t="n">
        <v>21</v>
      </c>
      <c r="D68" s="42" t="n">
        <v>0</v>
      </c>
    </row>
    <row r="69">
      <c r="A69" s="39" t="inlineStr">
        <is>
          <t>Сидоров Марат</t>
        </is>
      </c>
      <c r="B69" s="40" t="n">
        <v>40337</v>
      </c>
      <c r="C69" s="41" t="n">
        <v>5</v>
      </c>
      <c r="D69" s="42" t="n">
        <v>0</v>
      </c>
    </row>
    <row r="70">
      <c r="A70" s="39" t="inlineStr">
        <is>
          <t>Сидоров Марат</t>
        </is>
      </c>
      <c r="B70" s="40" t="n">
        <v>40338</v>
      </c>
      <c r="C70" s="41" t="n">
        <v>5</v>
      </c>
      <c r="D70" s="42" t="n">
        <v>0.5</v>
      </c>
    </row>
    <row r="71">
      <c r="A71" s="39" t="inlineStr">
        <is>
          <t>Сидоров Марат</t>
        </is>
      </c>
      <c r="B71" s="40" t="n">
        <v>40339</v>
      </c>
      <c r="C71" s="41" t="n">
        <v>4</v>
      </c>
      <c r="D71" s="42" t="n">
        <v>1</v>
      </c>
    </row>
    <row r="72">
      <c r="A72" s="39" t="inlineStr">
        <is>
          <t>Сидоров Марат</t>
        </is>
      </c>
      <c r="B72" s="40" t="n">
        <v>40340</v>
      </c>
      <c r="C72" s="41" t="n">
        <v>13</v>
      </c>
      <c r="D72" s="42" t="n">
        <v>0</v>
      </c>
    </row>
    <row r="73">
      <c r="A73" s="39" t="inlineStr">
        <is>
          <t>Сидоров Марат</t>
        </is>
      </c>
      <c r="B73" s="40" t="n">
        <v>40341</v>
      </c>
      <c r="C73" s="41" t="n">
        <v>2</v>
      </c>
      <c r="D73" s="42" t="n">
        <v>0</v>
      </c>
    </row>
    <row r="74">
      <c r="A74" s="39" t="inlineStr">
        <is>
          <t>Сидоров Марат</t>
        </is>
      </c>
      <c r="B74" s="40" t="n">
        <v>40342</v>
      </c>
      <c r="C74" s="41" t="n">
        <v>3</v>
      </c>
      <c r="D74" s="42" t="n">
        <v>1</v>
      </c>
    </row>
    <row r="75">
      <c r="A75" s="39" t="inlineStr">
        <is>
          <t>Сидоров Марат</t>
        </is>
      </c>
      <c r="B75" s="40" t="n">
        <v>40343</v>
      </c>
      <c r="C75" s="41" t="n">
        <v>19</v>
      </c>
      <c r="D75" s="42" t="n">
        <v>0</v>
      </c>
    </row>
    <row r="76">
      <c r="A76" s="39" t="inlineStr">
        <is>
          <t>Сидоров Марат</t>
        </is>
      </c>
      <c r="B76" s="40" t="n">
        <v>40344</v>
      </c>
      <c r="C76" s="41" t="n">
        <v>1</v>
      </c>
      <c r="D76" s="42" t="n">
        <v>3.4</v>
      </c>
    </row>
    <row r="77">
      <c r="A77" s="39" t="inlineStr">
        <is>
          <t>Сидоров Марат</t>
        </is>
      </c>
      <c r="B77" s="40" t="n">
        <v>40345</v>
      </c>
      <c r="C77" s="41" t="n">
        <v>21</v>
      </c>
      <c r="D77" s="42" t="n">
        <v>2</v>
      </c>
    </row>
    <row r="78">
      <c r="A78" s="39" t="inlineStr">
        <is>
          <t>Сидоров Марат</t>
        </is>
      </c>
      <c r="B78" s="40" t="n">
        <v>40346</v>
      </c>
      <c r="C78" s="41" t="n">
        <v>9</v>
      </c>
      <c r="D78" s="42" t="n">
        <v>12</v>
      </c>
    </row>
    <row r="79">
      <c r="A79" s="39" t="inlineStr">
        <is>
          <t>Сидоров Марат</t>
        </is>
      </c>
      <c r="B79" s="40" t="n">
        <v>40347</v>
      </c>
      <c r="C79" s="41" t="n">
        <v>19</v>
      </c>
      <c r="D79" s="42" t="n">
        <v>7.5</v>
      </c>
    </row>
    <row r="80">
      <c r="A80" s="39" t="inlineStr">
        <is>
          <t>Сидоров Марат</t>
        </is>
      </c>
      <c r="B80" s="40" t="n">
        <v>40348</v>
      </c>
      <c r="C80" s="41" t="n">
        <v>2</v>
      </c>
      <c r="D80" s="42" t="n">
        <v>1</v>
      </c>
    </row>
    <row r="81">
      <c r="A81" s="39" t="inlineStr">
        <is>
          <t>Сидоров Марат</t>
        </is>
      </c>
      <c r="B81" s="40" t="n">
        <v>40349</v>
      </c>
      <c r="C81" s="41" t="n">
        <v>1.3</v>
      </c>
      <c r="D81" s="42" t="n">
        <v>0.5</v>
      </c>
    </row>
    <row r="82">
      <c r="A82" s="39" t="inlineStr">
        <is>
          <t>Сидоров Марат</t>
        </is>
      </c>
      <c r="B82" s="40" t="n">
        <v>40350</v>
      </c>
      <c r="C82" s="41" t="n">
        <v>1.3</v>
      </c>
      <c r="D82" s="42" t="n">
        <v>7.5</v>
      </c>
    </row>
    <row r="83">
      <c r="A83" s="39" t="inlineStr">
        <is>
          <t>Сидоров Марат</t>
        </is>
      </c>
      <c r="B83" s="40" t="n">
        <v>40351</v>
      </c>
      <c r="C83" s="41" t="n">
        <v>12</v>
      </c>
      <c r="D83" s="42" t="n">
        <v>0</v>
      </c>
    </row>
    <row r="84">
      <c r="A84" s="39" t="inlineStr">
        <is>
          <t>Сидоров Марат</t>
        </is>
      </c>
      <c r="B84" s="40" t="n">
        <v>40352</v>
      </c>
      <c r="C84" s="41" t="n">
        <v>3</v>
      </c>
      <c r="D84" s="42" t="n">
        <v>1</v>
      </c>
    </row>
    <row r="85">
      <c r="A85" s="39" t="inlineStr">
        <is>
          <t>Сидоров Марат</t>
        </is>
      </c>
      <c r="B85" s="40" t="n">
        <v>40353</v>
      </c>
      <c r="C85" s="41" t="n">
        <v>13</v>
      </c>
      <c r="D85" s="42" t="n">
        <v>6.2</v>
      </c>
    </row>
    <row r="86">
      <c r="A86" s="39" t="inlineStr">
        <is>
          <t>Сидоров Марат</t>
        </is>
      </c>
      <c r="B86" s="40" t="n">
        <v>40354</v>
      </c>
      <c r="C86" s="41" t="n">
        <v>1.3</v>
      </c>
      <c r="D86" s="42" t="n">
        <v>3</v>
      </c>
    </row>
    <row r="87">
      <c r="A87" s="39" t="inlineStr">
        <is>
          <t>Сидоров Марат</t>
        </is>
      </c>
      <c r="B87" s="40" t="n">
        <v>40355</v>
      </c>
      <c r="C87" s="41" t="n">
        <v>0</v>
      </c>
      <c r="D87" s="42" t="n">
        <v>3.4</v>
      </c>
    </row>
    <row r="88">
      <c r="A88" s="39" t="inlineStr">
        <is>
          <t>Сидоров Марат</t>
        </is>
      </c>
      <c r="B88" s="40" t="n">
        <v>40356</v>
      </c>
      <c r="C88" s="41" t="n">
        <v>19</v>
      </c>
      <c r="D88" s="42" t="n">
        <v>2</v>
      </c>
    </row>
    <row r="89">
      <c r="A89" s="39" t="inlineStr">
        <is>
          <t>Сидоров Марат</t>
        </is>
      </c>
      <c r="B89" s="40" t="n">
        <v>40357</v>
      </c>
      <c r="C89" s="41" t="n">
        <v>0</v>
      </c>
      <c r="D89" s="42" t="n">
        <v>9</v>
      </c>
    </row>
    <row r="90">
      <c r="A90" s="39" t="inlineStr">
        <is>
          <t>Сидоров Марат</t>
        </is>
      </c>
      <c r="B90" s="40" t="n">
        <v>40358</v>
      </c>
      <c r="C90" s="41" t="n">
        <v>1</v>
      </c>
      <c r="D90" s="42" t="n">
        <v>6.2</v>
      </c>
    </row>
    <row r="91">
      <c r="A91" s="39" t="inlineStr">
        <is>
          <t>Сидоров Марат</t>
        </is>
      </c>
      <c r="B91" s="40" t="n">
        <v>40359</v>
      </c>
      <c r="C91" s="41" t="n">
        <v>19</v>
      </c>
      <c r="D91" s="4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AF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3" ht="45" customHeight="1">
      <c r="A3" s="43" t="inlineStr">
        <is>
          <t>Сумма по полю Количество исходящего трафика на внутренние ресурсы (мб)</t>
        </is>
      </c>
    </row>
    <row r="4">
      <c r="A4" s="44" t="inlineStr">
        <is>
          <t>Названия строк</t>
        </is>
      </c>
      <c r="B4" s="45" t="n">
        <v>40330</v>
      </c>
      <c r="C4" s="45" t="n">
        <v>40331</v>
      </c>
      <c r="D4" s="45" t="n">
        <v>40332</v>
      </c>
      <c r="E4" s="45" t="n">
        <v>40333</v>
      </c>
      <c r="F4" s="45" t="n">
        <v>40334</v>
      </c>
      <c r="G4" s="45" t="n">
        <v>40335</v>
      </c>
      <c r="H4" s="45" t="n">
        <v>40336</v>
      </c>
      <c r="I4" s="45" t="n">
        <v>40337</v>
      </c>
      <c r="J4" s="45" t="n">
        <v>40338</v>
      </c>
      <c r="K4" s="45" t="n">
        <v>40339</v>
      </c>
      <c r="L4" s="45" t="n">
        <v>40340</v>
      </c>
      <c r="M4" s="45" t="n">
        <v>40341</v>
      </c>
      <c r="N4" s="45" t="n">
        <v>40342</v>
      </c>
      <c r="O4" s="45" t="n">
        <v>40343</v>
      </c>
      <c r="P4" s="45" t="n">
        <v>40344</v>
      </c>
      <c r="Q4" s="45" t="n">
        <v>40345</v>
      </c>
      <c r="R4" s="45" t="n">
        <v>40346</v>
      </c>
      <c r="S4" s="45" t="n">
        <v>40347</v>
      </c>
      <c r="T4" s="45" t="n">
        <v>40348</v>
      </c>
      <c r="U4" s="45" t="n">
        <v>40349</v>
      </c>
      <c r="V4" s="45" t="n">
        <v>40350</v>
      </c>
      <c r="W4" s="45" t="n">
        <v>40351</v>
      </c>
      <c r="X4" s="45" t="n">
        <v>40352</v>
      </c>
      <c r="Y4" s="45" t="n">
        <v>40353</v>
      </c>
      <c r="Z4" s="45" t="n">
        <v>40354</v>
      </c>
      <c r="AA4" s="45" t="n">
        <v>40355</v>
      </c>
      <c r="AB4" s="45" t="n">
        <v>40356</v>
      </c>
      <c r="AC4" s="45" t="n">
        <v>40357</v>
      </c>
      <c r="AD4" s="45" t="n">
        <v>40358</v>
      </c>
      <c r="AE4" s="45" t="n">
        <v>40359</v>
      </c>
      <c r="AF4" s="44" t="inlineStr">
        <is>
          <t>Итого</t>
        </is>
      </c>
    </row>
    <row r="5">
      <c r="A5" s="4" t="inlineStr">
        <is>
          <t>Петров Петр</t>
        </is>
      </c>
      <c r="B5" s="4">
        <f>SUMIFS('9.1 Трафик'!$C$2:$C$91,'9.1 Трафик'!$A$2:$A$91,$A5,'9.1 Трафик'!$B$2:$B$91,B$4)</f>
        <v/>
      </c>
      <c r="C5" s="4">
        <f>SUMIFS('9.1 Трафик'!$C$2:$C$91,'9.1 Трафик'!$A$2:$A$91,$A5,'9.1 Трафик'!$B$2:$B$91,C$4)</f>
        <v/>
      </c>
      <c r="D5" s="4">
        <f>SUMIFS('9.1 Трафик'!$C$2:$C$91,'9.1 Трафик'!$A$2:$A$91,$A5,'9.1 Трафик'!$B$2:$B$91,D$4)</f>
        <v/>
      </c>
      <c r="E5" s="4">
        <f>SUMIFS('9.1 Трафик'!$C$2:$C$91,'9.1 Трафик'!$A$2:$A$91,$A5,'9.1 Трафик'!$B$2:$B$91,E$4)</f>
        <v/>
      </c>
      <c r="F5" s="4">
        <f>SUMIFS('9.1 Трафик'!$C$2:$C$91,'9.1 Трафик'!$A$2:$A$91,$A5,'9.1 Трафик'!$B$2:$B$91,F$4)</f>
        <v/>
      </c>
      <c r="G5" s="4">
        <f>SUMIFS('9.1 Трафик'!$C$2:$C$91,'9.1 Трафик'!$A$2:$A$91,$A5,'9.1 Трафик'!$B$2:$B$91,G$4)</f>
        <v/>
      </c>
      <c r="H5" s="4">
        <f>SUMIFS('9.1 Трафик'!$C$2:$C$91,'9.1 Трафик'!$A$2:$A$91,$A5,'9.1 Трафик'!$B$2:$B$91,H$4)</f>
        <v/>
      </c>
      <c r="I5" s="4">
        <f>SUMIFS('9.1 Трафик'!$C$2:$C$91,'9.1 Трафик'!$A$2:$A$91,$A5,'9.1 Трафик'!$B$2:$B$91,I$4)</f>
        <v/>
      </c>
      <c r="J5" s="4">
        <f>SUMIFS('9.1 Трафик'!$C$2:$C$91,'9.1 Трафик'!$A$2:$A$91,$A5,'9.1 Трафик'!$B$2:$B$91,J$4)</f>
        <v/>
      </c>
      <c r="K5" s="4">
        <f>SUMIFS('9.1 Трафик'!$C$2:$C$91,'9.1 Трафик'!$A$2:$A$91,$A5,'9.1 Трафик'!$B$2:$B$91,K$4)</f>
        <v/>
      </c>
      <c r="L5" s="4">
        <f>SUMIFS('9.1 Трафик'!$C$2:$C$91,'9.1 Трафик'!$A$2:$A$91,$A5,'9.1 Трафик'!$B$2:$B$91,L$4)</f>
        <v/>
      </c>
      <c r="M5" s="4">
        <f>SUMIFS('9.1 Трафик'!$C$2:$C$91,'9.1 Трафик'!$A$2:$A$91,$A5,'9.1 Трафик'!$B$2:$B$91,M$4)</f>
        <v/>
      </c>
      <c r="N5" s="4">
        <f>SUMIFS('9.1 Трафик'!$C$2:$C$91,'9.1 Трафик'!$A$2:$A$91,$A5,'9.1 Трафик'!$B$2:$B$91,N$4)</f>
        <v/>
      </c>
      <c r="O5" s="4">
        <f>SUMIFS('9.1 Трафик'!$C$2:$C$91,'9.1 Трафик'!$A$2:$A$91,$A5,'9.1 Трафик'!$B$2:$B$91,O$4)</f>
        <v/>
      </c>
      <c r="P5" s="4">
        <f>SUMIFS('9.1 Трафик'!$C$2:$C$91,'9.1 Трафик'!$A$2:$A$91,$A5,'9.1 Трафик'!$B$2:$B$91,P$4)</f>
        <v/>
      </c>
      <c r="Q5" s="4">
        <f>SUMIFS('9.1 Трафик'!$C$2:$C$91,'9.1 Трафик'!$A$2:$A$91,$A5,'9.1 Трафик'!$B$2:$B$91,Q$4)</f>
        <v/>
      </c>
      <c r="R5" s="4">
        <f>SUMIFS('9.1 Трафик'!$C$2:$C$91,'9.1 Трафик'!$A$2:$A$91,$A5,'9.1 Трафик'!$B$2:$B$91,R$4)</f>
        <v/>
      </c>
      <c r="S5" s="4">
        <f>SUMIFS('9.1 Трафик'!$C$2:$C$91,'9.1 Трафик'!$A$2:$A$91,$A5,'9.1 Трафик'!$B$2:$B$91,S$4)</f>
        <v/>
      </c>
      <c r="T5" s="4">
        <f>SUMIFS('9.1 Трафик'!$C$2:$C$91,'9.1 Трафик'!$A$2:$A$91,$A5,'9.1 Трафик'!$B$2:$B$91,T$4)</f>
        <v/>
      </c>
      <c r="U5" s="4">
        <f>SUMIFS('9.1 Трафик'!$C$2:$C$91,'9.1 Трафик'!$A$2:$A$91,$A5,'9.1 Трафик'!$B$2:$B$91,U$4)</f>
        <v/>
      </c>
      <c r="V5" s="4">
        <f>SUMIFS('9.1 Трафик'!$C$2:$C$91,'9.1 Трафик'!$A$2:$A$91,$A5,'9.1 Трафик'!$B$2:$B$91,V$4)</f>
        <v/>
      </c>
      <c r="W5" s="4">
        <f>SUMIFS('9.1 Трафик'!$C$2:$C$91,'9.1 Трафик'!$A$2:$A$91,$A5,'9.1 Трафик'!$B$2:$B$91,W$4)</f>
        <v/>
      </c>
      <c r="X5" s="4">
        <f>SUMIFS('9.1 Трафик'!$C$2:$C$91,'9.1 Трафик'!$A$2:$A$91,$A5,'9.1 Трафик'!$B$2:$B$91,X$4)</f>
        <v/>
      </c>
      <c r="Y5" s="4">
        <f>SUMIFS('9.1 Трафик'!$C$2:$C$91,'9.1 Трафик'!$A$2:$A$91,$A5,'9.1 Трафик'!$B$2:$B$91,Y$4)</f>
        <v/>
      </c>
      <c r="Z5" s="4">
        <f>SUMIFS('9.1 Трафик'!$C$2:$C$91,'9.1 Трафик'!$A$2:$A$91,$A5,'9.1 Трафик'!$B$2:$B$91,Z$4)</f>
        <v/>
      </c>
      <c r="AA5" s="4">
        <f>SUMIFS('9.1 Трафик'!$C$2:$C$91,'9.1 Трафик'!$A$2:$A$91,$A5,'9.1 Трафик'!$B$2:$B$91,AA$4)</f>
        <v/>
      </c>
      <c r="AB5" s="4">
        <f>SUMIFS('9.1 Трафик'!$C$2:$C$91,'9.1 Трафик'!$A$2:$A$91,$A5,'9.1 Трафик'!$B$2:$B$91,AB$4)</f>
        <v/>
      </c>
      <c r="AC5" s="4">
        <f>SUMIFS('9.1 Трафик'!$C$2:$C$91,'9.1 Трафик'!$A$2:$A$91,$A5,'9.1 Трафик'!$B$2:$B$91,AC$4)</f>
        <v/>
      </c>
      <c r="AD5" s="4">
        <f>SUMIFS('9.1 Трафик'!$C$2:$C$91,'9.1 Трафик'!$A$2:$A$91,$A5,'9.1 Трафик'!$B$2:$B$91,AD$4)</f>
        <v/>
      </c>
      <c r="AE5" s="4">
        <f>SUMIFS('9.1 Трафик'!$C$2:$C$91,'9.1 Трафик'!$A$2:$A$91,$A5,'9.1 Трафик'!$B$2:$B$91,AE$4)</f>
        <v/>
      </c>
      <c r="AF5" s="4">
        <f>SUM(B5:AE5)</f>
        <v/>
      </c>
    </row>
    <row r="6">
      <c r="A6" s="4" t="inlineStr">
        <is>
          <t>Сидоров Марат</t>
        </is>
      </c>
      <c r="B6" s="4">
        <f>SUMIFS('9.1 Трафик'!$C$2:$C$91,'9.1 Трафик'!$A$2:$A$91,$A6,'9.1 Трафик'!$B$2:$B$91,B$4)</f>
        <v/>
      </c>
      <c r="C6" s="4">
        <f>SUMIFS('9.1 Трафик'!$C$2:$C$91,'9.1 Трафик'!$A$2:$A$91,$A6,'9.1 Трафик'!$B$2:$B$91,C$4)</f>
        <v/>
      </c>
      <c r="D6" s="4">
        <f>SUMIFS('9.1 Трафик'!$C$2:$C$91,'9.1 Трафик'!$A$2:$A$91,$A6,'9.1 Трафик'!$B$2:$B$91,D$4)</f>
        <v/>
      </c>
      <c r="E6" s="4">
        <f>SUMIFS('9.1 Трафик'!$C$2:$C$91,'9.1 Трафик'!$A$2:$A$91,$A6,'9.1 Трафик'!$B$2:$B$91,E$4)</f>
        <v/>
      </c>
      <c r="F6" s="4">
        <f>SUMIFS('9.1 Трафик'!$C$2:$C$91,'9.1 Трафик'!$A$2:$A$91,$A6,'9.1 Трафик'!$B$2:$B$91,F$4)</f>
        <v/>
      </c>
      <c r="G6" s="4">
        <f>SUMIFS('9.1 Трафик'!$C$2:$C$91,'9.1 Трафик'!$A$2:$A$91,$A6,'9.1 Трафик'!$B$2:$B$91,G$4)</f>
        <v/>
      </c>
      <c r="H6" s="4">
        <f>SUMIFS('9.1 Трафик'!$C$2:$C$91,'9.1 Трафик'!$A$2:$A$91,$A6,'9.1 Трафик'!$B$2:$B$91,H$4)</f>
        <v/>
      </c>
      <c r="I6" s="4">
        <f>SUMIFS('9.1 Трафик'!$C$2:$C$91,'9.1 Трафик'!$A$2:$A$91,$A6,'9.1 Трафик'!$B$2:$B$91,I$4)</f>
        <v/>
      </c>
      <c r="J6" s="4">
        <f>SUMIFS('9.1 Трафик'!$C$2:$C$91,'9.1 Трафик'!$A$2:$A$91,$A6,'9.1 Трафик'!$B$2:$B$91,J$4)</f>
        <v/>
      </c>
      <c r="K6" s="4">
        <f>SUMIFS('9.1 Трафик'!$C$2:$C$91,'9.1 Трафик'!$A$2:$A$91,$A6,'9.1 Трафик'!$B$2:$B$91,K$4)</f>
        <v/>
      </c>
      <c r="L6" s="4">
        <f>SUMIFS('9.1 Трафик'!$C$2:$C$91,'9.1 Трафик'!$A$2:$A$91,$A6,'9.1 Трафик'!$B$2:$B$91,L$4)</f>
        <v/>
      </c>
      <c r="M6" s="4">
        <f>SUMIFS('9.1 Трафик'!$C$2:$C$91,'9.1 Трафик'!$A$2:$A$91,$A6,'9.1 Трафик'!$B$2:$B$91,M$4)</f>
        <v/>
      </c>
      <c r="N6" s="4">
        <f>SUMIFS('9.1 Трафик'!$C$2:$C$91,'9.1 Трафик'!$A$2:$A$91,$A6,'9.1 Трафик'!$B$2:$B$91,N$4)</f>
        <v/>
      </c>
      <c r="O6" s="4">
        <f>SUMIFS('9.1 Трафик'!$C$2:$C$91,'9.1 Трафик'!$A$2:$A$91,$A6,'9.1 Трафик'!$B$2:$B$91,O$4)</f>
        <v/>
      </c>
      <c r="P6" s="4">
        <f>SUMIFS('9.1 Трафик'!$C$2:$C$91,'9.1 Трафик'!$A$2:$A$91,$A6,'9.1 Трафик'!$B$2:$B$91,P$4)</f>
        <v/>
      </c>
      <c r="Q6" s="4">
        <f>SUMIFS('9.1 Трафик'!$C$2:$C$91,'9.1 Трафик'!$A$2:$A$91,$A6,'9.1 Трафик'!$B$2:$B$91,Q$4)</f>
        <v/>
      </c>
      <c r="R6" s="4">
        <f>SUMIFS('9.1 Трафик'!$C$2:$C$91,'9.1 Трафик'!$A$2:$A$91,$A6,'9.1 Трафик'!$B$2:$B$91,R$4)</f>
        <v/>
      </c>
      <c r="S6" s="4">
        <f>SUMIFS('9.1 Трафик'!$C$2:$C$91,'9.1 Трафик'!$A$2:$A$91,$A6,'9.1 Трафик'!$B$2:$B$91,S$4)</f>
        <v/>
      </c>
      <c r="T6" s="4">
        <f>SUMIFS('9.1 Трафик'!$C$2:$C$91,'9.1 Трафик'!$A$2:$A$91,$A6,'9.1 Трафик'!$B$2:$B$91,T$4)</f>
        <v/>
      </c>
      <c r="U6" s="4">
        <f>SUMIFS('9.1 Трафик'!$C$2:$C$91,'9.1 Трафик'!$A$2:$A$91,$A6,'9.1 Трафик'!$B$2:$B$91,U$4)</f>
        <v/>
      </c>
      <c r="V6" s="4">
        <f>SUMIFS('9.1 Трафик'!$C$2:$C$91,'9.1 Трафик'!$A$2:$A$91,$A6,'9.1 Трафик'!$B$2:$B$91,V$4)</f>
        <v/>
      </c>
      <c r="W6" s="4">
        <f>SUMIFS('9.1 Трафик'!$C$2:$C$91,'9.1 Трафик'!$A$2:$A$91,$A6,'9.1 Трафик'!$B$2:$B$91,W$4)</f>
        <v/>
      </c>
      <c r="X6" s="4">
        <f>SUMIFS('9.1 Трафик'!$C$2:$C$91,'9.1 Трафик'!$A$2:$A$91,$A6,'9.1 Трафик'!$B$2:$B$91,X$4)</f>
        <v/>
      </c>
      <c r="Y6" s="4">
        <f>SUMIFS('9.1 Трафик'!$C$2:$C$91,'9.1 Трафик'!$A$2:$A$91,$A6,'9.1 Трафик'!$B$2:$B$91,Y$4)</f>
        <v/>
      </c>
      <c r="Z6" s="4">
        <f>SUMIFS('9.1 Трафик'!$C$2:$C$91,'9.1 Трафик'!$A$2:$A$91,$A6,'9.1 Трафик'!$B$2:$B$91,Z$4)</f>
        <v/>
      </c>
      <c r="AA6" s="4">
        <f>SUMIFS('9.1 Трафик'!$C$2:$C$91,'9.1 Трафик'!$A$2:$A$91,$A6,'9.1 Трафик'!$B$2:$B$91,AA$4)</f>
        <v/>
      </c>
      <c r="AB6" s="4">
        <f>SUMIFS('9.1 Трафик'!$C$2:$C$91,'9.1 Трафик'!$A$2:$A$91,$A6,'9.1 Трафик'!$B$2:$B$91,AB$4)</f>
        <v/>
      </c>
      <c r="AC6" s="4">
        <f>SUMIFS('9.1 Трафик'!$C$2:$C$91,'9.1 Трафик'!$A$2:$A$91,$A6,'9.1 Трафик'!$B$2:$B$91,AC$4)</f>
        <v/>
      </c>
      <c r="AD6" s="4">
        <f>SUMIFS('9.1 Трафик'!$C$2:$C$91,'9.1 Трафик'!$A$2:$A$91,$A6,'9.1 Трафик'!$B$2:$B$91,AD$4)</f>
        <v/>
      </c>
      <c r="AE6" s="4">
        <f>SUMIFS('9.1 Трафик'!$C$2:$C$91,'9.1 Трафик'!$A$2:$A$91,$A6,'9.1 Трафик'!$B$2:$B$91,AE$4)</f>
        <v/>
      </c>
      <c r="AF6" s="4">
        <f>SUM(B6:AE6)</f>
        <v/>
      </c>
    </row>
    <row r="7">
      <c r="A7" s="4" t="inlineStr">
        <is>
          <t>Смирнов Алексей</t>
        </is>
      </c>
      <c r="B7" s="4">
        <f>SUMIFS('9.1 Трафик'!$C$2:$C$91,'9.1 Трафик'!$A$2:$A$91,$A7,'9.1 Трафик'!$B$2:$B$91,B$4)</f>
        <v/>
      </c>
      <c r="C7" s="4">
        <f>SUMIFS('9.1 Трафик'!$C$2:$C$91,'9.1 Трафик'!$A$2:$A$91,$A7,'9.1 Трафик'!$B$2:$B$91,C$4)</f>
        <v/>
      </c>
      <c r="D7" s="4">
        <f>SUMIFS('9.1 Трафик'!$C$2:$C$91,'9.1 Трафик'!$A$2:$A$91,$A7,'9.1 Трафик'!$B$2:$B$91,D$4)</f>
        <v/>
      </c>
      <c r="E7" s="4">
        <f>SUMIFS('9.1 Трафик'!$C$2:$C$91,'9.1 Трафик'!$A$2:$A$91,$A7,'9.1 Трафик'!$B$2:$B$91,E$4)</f>
        <v/>
      </c>
      <c r="F7" s="4">
        <f>SUMIFS('9.1 Трафик'!$C$2:$C$91,'9.1 Трафик'!$A$2:$A$91,$A7,'9.1 Трафик'!$B$2:$B$91,F$4)</f>
        <v/>
      </c>
      <c r="G7" s="4">
        <f>SUMIFS('9.1 Трафик'!$C$2:$C$91,'9.1 Трафик'!$A$2:$A$91,$A7,'9.1 Трафик'!$B$2:$B$91,G$4)</f>
        <v/>
      </c>
      <c r="H7" s="4">
        <f>SUMIFS('9.1 Трафик'!$C$2:$C$91,'9.1 Трафик'!$A$2:$A$91,$A7,'9.1 Трафик'!$B$2:$B$91,H$4)</f>
        <v/>
      </c>
      <c r="I7" s="4">
        <f>SUMIFS('9.1 Трафик'!$C$2:$C$91,'9.1 Трафик'!$A$2:$A$91,$A7,'9.1 Трафик'!$B$2:$B$91,I$4)</f>
        <v/>
      </c>
      <c r="J7" s="4">
        <f>SUMIFS('9.1 Трафик'!$C$2:$C$91,'9.1 Трафик'!$A$2:$A$91,$A7,'9.1 Трафик'!$B$2:$B$91,J$4)</f>
        <v/>
      </c>
      <c r="K7" s="4">
        <f>SUMIFS('9.1 Трафик'!$C$2:$C$91,'9.1 Трафик'!$A$2:$A$91,$A7,'9.1 Трафик'!$B$2:$B$91,K$4)</f>
        <v/>
      </c>
      <c r="L7" s="4">
        <f>SUMIFS('9.1 Трафик'!$C$2:$C$91,'9.1 Трафик'!$A$2:$A$91,$A7,'9.1 Трафик'!$B$2:$B$91,L$4)</f>
        <v/>
      </c>
      <c r="M7" s="4">
        <f>SUMIFS('9.1 Трафик'!$C$2:$C$91,'9.1 Трафик'!$A$2:$A$91,$A7,'9.1 Трафик'!$B$2:$B$91,M$4)</f>
        <v/>
      </c>
      <c r="N7" s="4">
        <f>SUMIFS('9.1 Трафик'!$C$2:$C$91,'9.1 Трафик'!$A$2:$A$91,$A7,'9.1 Трафик'!$B$2:$B$91,N$4)</f>
        <v/>
      </c>
      <c r="O7" s="4">
        <f>SUMIFS('9.1 Трафик'!$C$2:$C$91,'9.1 Трафик'!$A$2:$A$91,$A7,'9.1 Трафик'!$B$2:$B$91,O$4)</f>
        <v/>
      </c>
      <c r="P7" s="4">
        <f>SUMIFS('9.1 Трафик'!$C$2:$C$91,'9.1 Трафик'!$A$2:$A$91,$A7,'9.1 Трафик'!$B$2:$B$91,P$4)</f>
        <v/>
      </c>
      <c r="Q7" s="4">
        <f>SUMIFS('9.1 Трафик'!$C$2:$C$91,'9.1 Трафик'!$A$2:$A$91,$A7,'9.1 Трафик'!$B$2:$B$91,Q$4)</f>
        <v/>
      </c>
      <c r="R7" s="4">
        <f>SUMIFS('9.1 Трафик'!$C$2:$C$91,'9.1 Трафик'!$A$2:$A$91,$A7,'9.1 Трафик'!$B$2:$B$91,R$4)</f>
        <v/>
      </c>
      <c r="S7" s="4">
        <f>SUMIFS('9.1 Трафик'!$C$2:$C$91,'9.1 Трафик'!$A$2:$A$91,$A7,'9.1 Трафик'!$B$2:$B$91,S$4)</f>
        <v/>
      </c>
      <c r="T7" s="4">
        <f>SUMIFS('9.1 Трафик'!$C$2:$C$91,'9.1 Трафик'!$A$2:$A$91,$A7,'9.1 Трафик'!$B$2:$B$91,T$4)</f>
        <v/>
      </c>
      <c r="U7" s="4">
        <f>SUMIFS('9.1 Трафик'!$C$2:$C$91,'9.1 Трафик'!$A$2:$A$91,$A7,'9.1 Трафик'!$B$2:$B$91,U$4)</f>
        <v/>
      </c>
      <c r="V7" s="4">
        <f>SUMIFS('9.1 Трафик'!$C$2:$C$91,'9.1 Трафик'!$A$2:$A$91,$A7,'9.1 Трафик'!$B$2:$B$91,V$4)</f>
        <v/>
      </c>
      <c r="W7" s="4">
        <f>SUMIFS('9.1 Трафик'!$C$2:$C$91,'9.1 Трафик'!$A$2:$A$91,$A7,'9.1 Трафик'!$B$2:$B$91,W$4)</f>
        <v/>
      </c>
      <c r="X7" s="4">
        <f>SUMIFS('9.1 Трафик'!$C$2:$C$91,'9.1 Трафик'!$A$2:$A$91,$A7,'9.1 Трафик'!$B$2:$B$91,X$4)</f>
        <v/>
      </c>
      <c r="Y7" s="4">
        <f>SUMIFS('9.1 Трафик'!$C$2:$C$91,'9.1 Трафик'!$A$2:$A$91,$A7,'9.1 Трафик'!$B$2:$B$91,Y$4)</f>
        <v/>
      </c>
      <c r="Z7" s="4">
        <f>SUMIFS('9.1 Трафик'!$C$2:$C$91,'9.1 Трафик'!$A$2:$A$91,$A7,'9.1 Трафик'!$B$2:$B$91,Z$4)</f>
        <v/>
      </c>
      <c r="AA7" s="4">
        <f>SUMIFS('9.1 Трафик'!$C$2:$C$91,'9.1 Трафик'!$A$2:$A$91,$A7,'9.1 Трафик'!$B$2:$B$91,AA$4)</f>
        <v/>
      </c>
      <c r="AB7" s="4">
        <f>SUMIFS('9.1 Трафик'!$C$2:$C$91,'9.1 Трафик'!$A$2:$A$91,$A7,'9.1 Трафик'!$B$2:$B$91,AB$4)</f>
        <v/>
      </c>
      <c r="AC7" s="4">
        <f>SUMIFS('9.1 Трафик'!$C$2:$C$91,'9.1 Трафик'!$A$2:$A$91,$A7,'9.1 Трафик'!$B$2:$B$91,AC$4)</f>
        <v/>
      </c>
      <c r="AD7" s="4">
        <f>SUMIFS('9.1 Трафик'!$C$2:$C$91,'9.1 Трафик'!$A$2:$A$91,$A7,'9.1 Трафик'!$B$2:$B$91,AD$4)</f>
        <v/>
      </c>
      <c r="AE7" s="4">
        <f>SUMIFS('9.1 Трафик'!$C$2:$C$91,'9.1 Трафик'!$A$2:$A$91,$A7,'9.1 Трафик'!$B$2:$B$91,AE$4)</f>
        <v/>
      </c>
      <c r="AF7" s="4">
        <f>SUM(B7:AE7)</f>
        <v/>
      </c>
    </row>
    <row r="8">
      <c r="A8" s="44" t="inlineStr">
        <is>
          <t>Общий итог</t>
        </is>
      </c>
      <c r="B8" s="44">
        <f>SUM(B5:B7)</f>
        <v/>
      </c>
      <c r="C8" s="44">
        <f>SUM(C5:C7)</f>
        <v/>
      </c>
      <c r="D8" s="44">
        <f>SUM(D5:D7)</f>
        <v/>
      </c>
      <c r="E8" s="44">
        <f>SUM(E5:E7)</f>
        <v/>
      </c>
      <c r="F8" s="44">
        <f>SUM(F5:F7)</f>
        <v/>
      </c>
      <c r="G8" s="44">
        <f>SUM(G5:G7)</f>
        <v/>
      </c>
      <c r="H8" s="44">
        <f>SUM(H5:H7)</f>
        <v/>
      </c>
      <c r="I8" s="44">
        <f>SUM(I5:I7)</f>
        <v/>
      </c>
      <c r="J8" s="44">
        <f>SUM(J5:J7)</f>
        <v/>
      </c>
      <c r="K8" s="44">
        <f>SUM(K5:K7)</f>
        <v/>
      </c>
      <c r="L8" s="44">
        <f>SUM(L5:L7)</f>
        <v/>
      </c>
      <c r="M8" s="44">
        <f>SUM(M5:M7)</f>
        <v/>
      </c>
      <c r="N8" s="44">
        <f>SUM(N5:N7)</f>
        <v/>
      </c>
      <c r="O8" s="44">
        <f>SUM(O5:O7)</f>
        <v/>
      </c>
      <c r="P8" s="44">
        <f>SUM(P5:P7)</f>
        <v/>
      </c>
      <c r="Q8" s="44">
        <f>SUM(Q5:Q7)</f>
        <v/>
      </c>
      <c r="R8" s="44">
        <f>SUM(R5:R7)</f>
        <v/>
      </c>
      <c r="S8" s="44">
        <f>SUM(S5:S7)</f>
        <v/>
      </c>
      <c r="T8" s="44">
        <f>SUM(T5:T7)</f>
        <v/>
      </c>
      <c r="U8" s="44">
        <f>SUM(U5:U7)</f>
        <v/>
      </c>
      <c r="V8" s="44">
        <f>SUM(V5:V7)</f>
        <v/>
      </c>
      <c r="W8" s="44">
        <f>SUM(W5:W7)</f>
        <v/>
      </c>
      <c r="X8" s="44">
        <f>SUM(X5:X7)</f>
        <v/>
      </c>
      <c r="Y8" s="44">
        <f>SUM(Y5:Y7)</f>
        <v/>
      </c>
      <c r="Z8" s="44">
        <f>SUM(Z5:Z7)</f>
        <v/>
      </c>
      <c r="AA8" s="44">
        <f>SUM(AA5:AA7)</f>
        <v/>
      </c>
      <c r="AB8" s="44">
        <f>SUM(AB5:AB7)</f>
        <v/>
      </c>
      <c r="AC8" s="44">
        <f>SUM(AC5:AC7)</f>
        <v/>
      </c>
      <c r="AD8" s="44">
        <f>SUM(AD5:AD7)</f>
        <v/>
      </c>
      <c r="AE8" s="44">
        <f>SUM(AE5:AE7)</f>
        <v/>
      </c>
      <c r="AF8" s="44">
        <f>SUM(AF5:AF7)</f>
        <v/>
      </c>
    </row>
    <row r="11" ht="45" customHeight="1">
      <c r="A11" s="43" t="inlineStr">
        <is>
          <t>Сумма по полю Количество исходящего трафика на внешние ресурсы (мб)</t>
        </is>
      </c>
    </row>
    <row r="12">
      <c r="A12" s="44" t="inlineStr">
        <is>
          <t>Названия строк</t>
        </is>
      </c>
      <c r="B12" s="45" t="n">
        <v>40330</v>
      </c>
      <c r="C12" s="45" t="n">
        <v>40331</v>
      </c>
      <c r="D12" s="45" t="n">
        <v>40332</v>
      </c>
      <c r="E12" s="45" t="n">
        <v>40333</v>
      </c>
      <c r="F12" s="45" t="n">
        <v>40334</v>
      </c>
      <c r="G12" s="45" t="n">
        <v>40335</v>
      </c>
      <c r="H12" s="45" t="n">
        <v>40336</v>
      </c>
      <c r="I12" s="45" t="n">
        <v>40337</v>
      </c>
      <c r="J12" s="45" t="n">
        <v>40338</v>
      </c>
      <c r="K12" s="45" t="n">
        <v>40339</v>
      </c>
      <c r="L12" s="45" t="n">
        <v>40340</v>
      </c>
      <c r="M12" s="45" t="n">
        <v>40341</v>
      </c>
      <c r="N12" s="45" t="n">
        <v>40342</v>
      </c>
      <c r="O12" s="45" t="n">
        <v>40343</v>
      </c>
      <c r="P12" s="45" t="n">
        <v>40344</v>
      </c>
      <c r="Q12" s="45" t="n">
        <v>40345</v>
      </c>
      <c r="R12" s="45" t="n">
        <v>40346</v>
      </c>
      <c r="S12" s="45" t="n">
        <v>40347</v>
      </c>
      <c r="T12" s="45" t="n">
        <v>40348</v>
      </c>
      <c r="U12" s="45" t="n">
        <v>40349</v>
      </c>
      <c r="V12" s="45" t="n">
        <v>40350</v>
      </c>
      <c r="W12" s="45" t="n">
        <v>40351</v>
      </c>
      <c r="X12" s="45" t="n">
        <v>40352</v>
      </c>
      <c r="Y12" s="45" t="n">
        <v>40353</v>
      </c>
      <c r="Z12" s="45" t="n">
        <v>40354</v>
      </c>
      <c r="AA12" s="45" t="n">
        <v>40355</v>
      </c>
      <c r="AB12" s="45" t="n">
        <v>40356</v>
      </c>
      <c r="AC12" s="45" t="n">
        <v>40357</v>
      </c>
      <c r="AD12" s="45" t="n">
        <v>40358</v>
      </c>
      <c r="AE12" s="45" t="n">
        <v>40359</v>
      </c>
      <c r="AF12" s="44" t="inlineStr">
        <is>
          <t>Итого</t>
        </is>
      </c>
    </row>
    <row r="13">
      <c r="A13" s="4" t="inlineStr">
        <is>
          <t>Петров Петр</t>
        </is>
      </c>
      <c r="B13" s="4">
        <f>SUMIFS('9.1 Трафик'!$D$2:$D$91,'9.1 Трафик'!$A$2:$A$91,$A13,'9.1 Трафик'!$B$2:$B$91,B$12)</f>
        <v/>
      </c>
      <c r="C13" s="4">
        <f>SUMIFS('9.1 Трафик'!$D$2:$D$91,'9.1 Трафик'!$A$2:$A$91,$A13,'9.1 Трафик'!$B$2:$B$91,C$12)</f>
        <v/>
      </c>
      <c r="D13" s="4">
        <f>SUMIFS('9.1 Трафик'!$D$2:$D$91,'9.1 Трафик'!$A$2:$A$91,$A13,'9.1 Трафик'!$B$2:$B$91,D$12)</f>
        <v/>
      </c>
      <c r="E13" s="4">
        <f>SUMIFS('9.1 Трафик'!$D$2:$D$91,'9.1 Трафик'!$A$2:$A$91,$A13,'9.1 Трафик'!$B$2:$B$91,E$12)</f>
        <v/>
      </c>
      <c r="F13" s="4">
        <f>SUMIFS('9.1 Трафик'!$D$2:$D$91,'9.1 Трафик'!$A$2:$A$91,$A13,'9.1 Трафик'!$B$2:$B$91,F$12)</f>
        <v/>
      </c>
      <c r="G13" s="4">
        <f>SUMIFS('9.1 Трафик'!$D$2:$D$91,'9.1 Трафик'!$A$2:$A$91,$A13,'9.1 Трафик'!$B$2:$B$91,G$12)</f>
        <v/>
      </c>
      <c r="H13" s="4">
        <f>SUMIFS('9.1 Трафик'!$D$2:$D$91,'9.1 Трафик'!$A$2:$A$91,$A13,'9.1 Трафик'!$B$2:$B$91,H$12)</f>
        <v/>
      </c>
      <c r="I13" s="4">
        <f>SUMIFS('9.1 Трафик'!$D$2:$D$91,'9.1 Трафик'!$A$2:$A$91,$A13,'9.1 Трафик'!$B$2:$B$91,I$12)</f>
        <v/>
      </c>
      <c r="J13" s="4">
        <f>SUMIFS('9.1 Трафик'!$D$2:$D$91,'9.1 Трафик'!$A$2:$A$91,$A13,'9.1 Трафик'!$B$2:$B$91,J$12)</f>
        <v/>
      </c>
      <c r="K13" s="4">
        <f>SUMIFS('9.1 Трафик'!$D$2:$D$91,'9.1 Трафик'!$A$2:$A$91,$A13,'9.1 Трафик'!$B$2:$B$91,K$12)</f>
        <v/>
      </c>
      <c r="L13" s="4">
        <f>SUMIFS('9.1 Трафик'!$D$2:$D$91,'9.1 Трафик'!$A$2:$A$91,$A13,'9.1 Трафик'!$B$2:$B$91,L$12)</f>
        <v/>
      </c>
      <c r="M13" s="4">
        <f>SUMIFS('9.1 Трафик'!$D$2:$D$91,'9.1 Трафик'!$A$2:$A$91,$A13,'9.1 Трафик'!$B$2:$B$91,M$12)</f>
        <v/>
      </c>
      <c r="N13" s="4">
        <f>SUMIFS('9.1 Трафик'!$D$2:$D$91,'9.1 Трафик'!$A$2:$A$91,$A13,'9.1 Трафик'!$B$2:$B$91,N$12)</f>
        <v/>
      </c>
      <c r="O13" s="4">
        <f>SUMIFS('9.1 Трафик'!$D$2:$D$91,'9.1 Трафик'!$A$2:$A$91,$A13,'9.1 Трафик'!$B$2:$B$91,O$12)</f>
        <v/>
      </c>
      <c r="P13" s="4">
        <f>SUMIFS('9.1 Трафик'!$D$2:$D$91,'9.1 Трафик'!$A$2:$A$91,$A13,'9.1 Трафик'!$B$2:$B$91,P$12)</f>
        <v/>
      </c>
      <c r="Q13" s="4">
        <f>SUMIFS('9.1 Трафик'!$D$2:$D$91,'9.1 Трафик'!$A$2:$A$91,$A13,'9.1 Трафик'!$B$2:$B$91,Q$12)</f>
        <v/>
      </c>
      <c r="R13" s="4">
        <f>SUMIFS('9.1 Трафик'!$D$2:$D$91,'9.1 Трафик'!$A$2:$A$91,$A13,'9.1 Трафик'!$B$2:$B$91,R$12)</f>
        <v/>
      </c>
      <c r="S13" s="4">
        <f>SUMIFS('9.1 Трафик'!$D$2:$D$91,'9.1 Трафик'!$A$2:$A$91,$A13,'9.1 Трафик'!$B$2:$B$91,S$12)</f>
        <v/>
      </c>
      <c r="T13" s="4">
        <f>SUMIFS('9.1 Трафик'!$D$2:$D$91,'9.1 Трафик'!$A$2:$A$91,$A13,'9.1 Трафик'!$B$2:$B$91,T$12)</f>
        <v/>
      </c>
      <c r="U13" s="4">
        <f>SUMIFS('9.1 Трафик'!$D$2:$D$91,'9.1 Трафик'!$A$2:$A$91,$A13,'9.1 Трафик'!$B$2:$B$91,U$12)</f>
        <v/>
      </c>
      <c r="V13" s="4">
        <f>SUMIFS('9.1 Трафик'!$D$2:$D$91,'9.1 Трафик'!$A$2:$A$91,$A13,'9.1 Трафик'!$B$2:$B$91,V$12)</f>
        <v/>
      </c>
      <c r="W13" s="4">
        <f>SUMIFS('9.1 Трафик'!$D$2:$D$91,'9.1 Трафик'!$A$2:$A$91,$A13,'9.1 Трафик'!$B$2:$B$91,W$12)</f>
        <v/>
      </c>
      <c r="X13" s="4">
        <f>SUMIFS('9.1 Трафик'!$D$2:$D$91,'9.1 Трафик'!$A$2:$A$91,$A13,'9.1 Трафик'!$B$2:$B$91,X$12)</f>
        <v/>
      </c>
      <c r="Y13" s="4">
        <f>SUMIFS('9.1 Трафик'!$D$2:$D$91,'9.1 Трафик'!$A$2:$A$91,$A13,'9.1 Трафик'!$B$2:$B$91,Y$12)</f>
        <v/>
      </c>
      <c r="Z13" s="4">
        <f>SUMIFS('9.1 Трафик'!$D$2:$D$91,'9.1 Трафик'!$A$2:$A$91,$A13,'9.1 Трафик'!$B$2:$B$91,Z$12)</f>
        <v/>
      </c>
      <c r="AA13" s="4">
        <f>SUMIFS('9.1 Трафик'!$D$2:$D$91,'9.1 Трафик'!$A$2:$A$91,$A13,'9.1 Трафик'!$B$2:$B$91,AA$12)</f>
        <v/>
      </c>
      <c r="AB13" s="4">
        <f>SUMIFS('9.1 Трафик'!$D$2:$D$91,'9.1 Трафик'!$A$2:$A$91,$A13,'9.1 Трафик'!$B$2:$B$91,AB$12)</f>
        <v/>
      </c>
      <c r="AC13" s="4">
        <f>SUMIFS('9.1 Трафик'!$D$2:$D$91,'9.1 Трафик'!$A$2:$A$91,$A13,'9.1 Трафик'!$B$2:$B$91,AC$12)</f>
        <v/>
      </c>
      <c r="AD13" s="4">
        <f>SUMIFS('9.1 Трафик'!$D$2:$D$91,'9.1 Трафик'!$A$2:$A$91,$A13,'9.1 Трафик'!$B$2:$B$91,AD$12)</f>
        <v/>
      </c>
      <c r="AE13" s="4">
        <f>SUMIFS('9.1 Трафик'!$D$2:$D$91,'9.1 Трафик'!$A$2:$A$91,$A13,'9.1 Трафик'!$B$2:$B$91,AE$12)</f>
        <v/>
      </c>
      <c r="AF13" s="4">
        <f>SUM(B13:AE13)</f>
        <v/>
      </c>
    </row>
    <row r="14">
      <c r="A14" s="4" t="inlineStr">
        <is>
          <t>Сидоров Марат</t>
        </is>
      </c>
      <c r="B14" s="4">
        <f>SUMIFS('9.1 Трафик'!$D$2:$D$91,'9.1 Трафик'!$A$2:$A$91,$A14,'9.1 Трафик'!$B$2:$B$91,B$12)</f>
        <v/>
      </c>
      <c r="C14" s="4">
        <f>SUMIFS('9.1 Трафик'!$D$2:$D$91,'9.1 Трафик'!$A$2:$A$91,$A14,'9.1 Трафик'!$B$2:$B$91,C$12)</f>
        <v/>
      </c>
      <c r="D14" s="4">
        <f>SUMIFS('9.1 Трафик'!$D$2:$D$91,'9.1 Трафик'!$A$2:$A$91,$A14,'9.1 Трафик'!$B$2:$B$91,D$12)</f>
        <v/>
      </c>
      <c r="E14" s="4">
        <f>SUMIFS('9.1 Трафик'!$D$2:$D$91,'9.1 Трафик'!$A$2:$A$91,$A14,'9.1 Трафик'!$B$2:$B$91,E$12)</f>
        <v/>
      </c>
      <c r="F14" s="4">
        <f>SUMIFS('9.1 Трафик'!$D$2:$D$91,'9.1 Трафик'!$A$2:$A$91,$A14,'9.1 Трафик'!$B$2:$B$91,F$12)</f>
        <v/>
      </c>
      <c r="G14" s="4">
        <f>SUMIFS('9.1 Трафик'!$D$2:$D$91,'9.1 Трафик'!$A$2:$A$91,$A14,'9.1 Трафик'!$B$2:$B$91,G$12)</f>
        <v/>
      </c>
      <c r="H14" s="4">
        <f>SUMIFS('9.1 Трафик'!$D$2:$D$91,'9.1 Трафик'!$A$2:$A$91,$A14,'9.1 Трафик'!$B$2:$B$91,H$12)</f>
        <v/>
      </c>
      <c r="I14" s="4">
        <f>SUMIFS('9.1 Трафик'!$D$2:$D$91,'9.1 Трафик'!$A$2:$A$91,$A14,'9.1 Трафик'!$B$2:$B$91,I$12)</f>
        <v/>
      </c>
      <c r="J14" s="4">
        <f>SUMIFS('9.1 Трафик'!$D$2:$D$91,'9.1 Трафик'!$A$2:$A$91,$A14,'9.1 Трафик'!$B$2:$B$91,J$12)</f>
        <v/>
      </c>
      <c r="K14" s="4">
        <f>SUMIFS('9.1 Трафик'!$D$2:$D$91,'9.1 Трафик'!$A$2:$A$91,$A14,'9.1 Трафик'!$B$2:$B$91,K$12)</f>
        <v/>
      </c>
      <c r="L14" s="4">
        <f>SUMIFS('9.1 Трафик'!$D$2:$D$91,'9.1 Трафик'!$A$2:$A$91,$A14,'9.1 Трафик'!$B$2:$B$91,L$12)</f>
        <v/>
      </c>
      <c r="M14" s="4">
        <f>SUMIFS('9.1 Трафик'!$D$2:$D$91,'9.1 Трафик'!$A$2:$A$91,$A14,'9.1 Трафик'!$B$2:$B$91,M$12)</f>
        <v/>
      </c>
      <c r="N14" s="4">
        <f>SUMIFS('9.1 Трафик'!$D$2:$D$91,'9.1 Трафик'!$A$2:$A$91,$A14,'9.1 Трафик'!$B$2:$B$91,N$12)</f>
        <v/>
      </c>
      <c r="O14" s="4">
        <f>SUMIFS('9.1 Трафик'!$D$2:$D$91,'9.1 Трафик'!$A$2:$A$91,$A14,'9.1 Трафик'!$B$2:$B$91,O$12)</f>
        <v/>
      </c>
      <c r="P14" s="4">
        <f>SUMIFS('9.1 Трафик'!$D$2:$D$91,'9.1 Трафик'!$A$2:$A$91,$A14,'9.1 Трафик'!$B$2:$B$91,P$12)</f>
        <v/>
      </c>
      <c r="Q14" s="4">
        <f>SUMIFS('9.1 Трафик'!$D$2:$D$91,'9.1 Трафик'!$A$2:$A$91,$A14,'9.1 Трафик'!$B$2:$B$91,Q$12)</f>
        <v/>
      </c>
      <c r="R14" s="4">
        <f>SUMIFS('9.1 Трафик'!$D$2:$D$91,'9.1 Трафик'!$A$2:$A$91,$A14,'9.1 Трафик'!$B$2:$B$91,R$12)</f>
        <v/>
      </c>
      <c r="S14" s="4">
        <f>SUMIFS('9.1 Трафик'!$D$2:$D$91,'9.1 Трафик'!$A$2:$A$91,$A14,'9.1 Трафик'!$B$2:$B$91,S$12)</f>
        <v/>
      </c>
      <c r="T14" s="4">
        <f>SUMIFS('9.1 Трафик'!$D$2:$D$91,'9.1 Трафик'!$A$2:$A$91,$A14,'9.1 Трафик'!$B$2:$B$91,T$12)</f>
        <v/>
      </c>
      <c r="U14" s="4">
        <f>SUMIFS('9.1 Трафик'!$D$2:$D$91,'9.1 Трафик'!$A$2:$A$91,$A14,'9.1 Трафик'!$B$2:$B$91,U$12)</f>
        <v/>
      </c>
      <c r="V14" s="4">
        <f>SUMIFS('9.1 Трафик'!$D$2:$D$91,'9.1 Трафик'!$A$2:$A$91,$A14,'9.1 Трафик'!$B$2:$B$91,V$12)</f>
        <v/>
      </c>
      <c r="W14" s="4">
        <f>SUMIFS('9.1 Трафик'!$D$2:$D$91,'9.1 Трафик'!$A$2:$A$91,$A14,'9.1 Трафик'!$B$2:$B$91,W$12)</f>
        <v/>
      </c>
      <c r="X14" s="4">
        <f>SUMIFS('9.1 Трафик'!$D$2:$D$91,'9.1 Трафик'!$A$2:$A$91,$A14,'9.1 Трафик'!$B$2:$B$91,X$12)</f>
        <v/>
      </c>
      <c r="Y14" s="4">
        <f>SUMIFS('9.1 Трафик'!$D$2:$D$91,'9.1 Трафик'!$A$2:$A$91,$A14,'9.1 Трафик'!$B$2:$B$91,Y$12)</f>
        <v/>
      </c>
      <c r="Z14" s="4">
        <f>SUMIFS('9.1 Трафик'!$D$2:$D$91,'9.1 Трафик'!$A$2:$A$91,$A14,'9.1 Трафик'!$B$2:$B$91,Z$12)</f>
        <v/>
      </c>
      <c r="AA14" s="4">
        <f>SUMIFS('9.1 Трафик'!$D$2:$D$91,'9.1 Трафик'!$A$2:$A$91,$A14,'9.1 Трафик'!$B$2:$B$91,AA$12)</f>
        <v/>
      </c>
      <c r="AB14" s="4">
        <f>SUMIFS('9.1 Трафик'!$D$2:$D$91,'9.1 Трафик'!$A$2:$A$91,$A14,'9.1 Трафик'!$B$2:$B$91,AB$12)</f>
        <v/>
      </c>
      <c r="AC14" s="4">
        <f>SUMIFS('9.1 Трафик'!$D$2:$D$91,'9.1 Трафик'!$A$2:$A$91,$A14,'9.1 Трафик'!$B$2:$B$91,AC$12)</f>
        <v/>
      </c>
      <c r="AD14" s="4">
        <f>SUMIFS('9.1 Трафик'!$D$2:$D$91,'9.1 Трафик'!$A$2:$A$91,$A14,'9.1 Трафик'!$B$2:$B$91,AD$12)</f>
        <v/>
      </c>
      <c r="AE14" s="4">
        <f>SUMIFS('9.1 Трафик'!$D$2:$D$91,'9.1 Трафик'!$A$2:$A$91,$A14,'9.1 Трафик'!$B$2:$B$91,AE$12)</f>
        <v/>
      </c>
      <c r="AF14" s="4">
        <f>SUM(B14:AE14)</f>
        <v/>
      </c>
    </row>
    <row r="15">
      <c r="A15" s="4" t="inlineStr">
        <is>
          <t>Смирнов Алексей</t>
        </is>
      </c>
      <c r="B15" s="4">
        <f>SUMIFS('9.1 Трафик'!$D$2:$D$91,'9.1 Трафик'!$A$2:$A$91,$A15,'9.1 Трафик'!$B$2:$B$91,B$12)</f>
        <v/>
      </c>
      <c r="C15" s="4">
        <f>SUMIFS('9.1 Трафик'!$D$2:$D$91,'9.1 Трафик'!$A$2:$A$91,$A15,'9.1 Трафик'!$B$2:$B$91,C$12)</f>
        <v/>
      </c>
      <c r="D15" s="4">
        <f>SUMIFS('9.1 Трафик'!$D$2:$D$91,'9.1 Трафик'!$A$2:$A$91,$A15,'9.1 Трафик'!$B$2:$B$91,D$12)</f>
        <v/>
      </c>
      <c r="E15" s="4">
        <f>SUMIFS('9.1 Трафик'!$D$2:$D$91,'9.1 Трафик'!$A$2:$A$91,$A15,'9.1 Трафик'!$B$2:$B$91,E$12)</f>
        <v/>
      </c>
      <c r="F15" s="4">
        <f>SUMIFS('9.1 Трафик'!$D$2:$D$91,'9.1 Трафик'!$A$2:$A$91,$A15,'9.1 Трафик'!$B$2:$B$91,F$12)</f>
        <v/>
      </c>
      <c r="G15" s="4">
        <f>SUMIFS('9.1 Трафик'!$D$2:$D$91,'9.1 Трафик'!$A$2:$A$91,$A15,'9.1 Трафик'!$B$2:$B$91,G$12)</f>
        <v/>
      </c>
      <c r="H15" s="4">
        <f>SUMIFS('9.1 Трафик'!$D$2:$D$91,'9.1 Трафик'!$A$2:$A$91,$A15,'9.1 Трафик'!$B$2:$B$91,H$12)</f>
        <v/>
      </c>
      <c r="I15" s="4">
        <f>SUMIFS('9.1 Трафик'!$D$2:$D$91,'9.1 Трафик'!$A$2:$A$91,$A15,'9.1 Трафик'!$B$2:$B$91,I$12)</f>
        <v/>
      </c>
      <c r="J15" s="4">
        <f>SUMIFS('9.1 Трафик'!$D$2:$D$91,'9.1 Трафик'!$A$2:$A$91,$A15,'9.1 Трафик'!$B$2:$B$91,J$12)</f>
        <v/>
      </c>
      <c r="K15" s="4">
        <f>SUMIFS('9.1 Трафик'!$D$2:$D$91,'9.1 Трафик'!$A$2:$A$91,$A15,'9.1 Трафик'!$B$2:$B$91,K$12)</f>
        <v/>
      </c>
      <c r="L15" s="4">
        <f>SUMIFS('9.1 Трафик'!$D$2:$D$91,'9.1 Трафик'!$A$2:$A$91,$A15,'9.1 Трафик'!$B$2:$B$91,L$12)</f>
        <v/>
      </c>
      <c r="M15" s="4">
        <f>SUMIFS('9.1 Трафик'!$D$2:$D$91,'9.1 Трафик'!$A$2:$A$91,$A15,'9.1 Трафик'!$B$2:$B$91,M$12)</f>
        <v/>
      </c>
      <c r="N15" s="4">
        <f>SUMIFS('9.1 Трафик'!$D$2:$D$91,'9.1 Трафик'!$A$2:$A$91,$A15,'9.1 Трафик'!$B$2:$B$91,N$12)</f>
        <v/>
      </c>
      <c r="O15" s="4">
        <f>SUMIFS('9.1 Трафик'!$D$2:$D$91,'9.1 Трафик'!$A$2:$A$91,$A15,'9.1 Трафик'!$B$2:$B$91,O$12)</f>
        <v/>
      </c>
      <c r="P15" s="4">
        <f>SUMIFS('9.1 Трафик'!$D$2:$D$91,'9.1 Трафик'!$A$2:$A$91,$A15,'9.1 Трафик'!$B$2:$B$91,P$12)</f>
        <v/>
      </c>
      <c r="Q15" s="4">
        <f>SUMIFS('9.1 Трафик'!$D$2:$D$91,'9.1 Трафик'!$A$2:$A$91,$A15,'9.1 Трафик'!$B$2:$B$91,Q$12)</f>
        <v/>
      </c>
      <c r="R15" s="4">
        <f>SUMIFS('9.1 Трафик'!$D$2:$D$91,'9.1 Трафик'!$A$2:$A$91,$A15,'9.1 Трафик'!$B$2:$B$91,R$12)</f>
        <v/>
      </c>
      <c r="S15" s="4">
        <f>SUMIFS('9.1 Трафик'!$D$2:$D$91,'9.1 Трафик'!$A$2:$A$91,$A15,'9.1 Трафик'!$B$2:$B$91,S$12)</f>
        <v/>
      </c>
      <c r="T15" s="4">
        <f>SUMIFS('9.1 Трафик'!$D$2:$D$91,'9.1 Трафик'!$A$2:$A$91,$A15,'9.1 Трафик'!$B$2:$B$91,T$12)</f>
        <v/>
      </c>
      <c r="U15" s="4">
        <f>SUMIFS('9.1 Трафик'!$D$2:$D$91,'9.1 Трафик'!$A$2:$A$91,$A15,'9.1 Трафик'!$B$2:$B$91,U$12)</f>
        <v/>
      </c>
      <c r="V15" s="4">
        <f>SUMIFS('9.1 Трафик'!$D$2:$D$91,'9.1 Трафик'!$A$2:$A$91,$A15,'9.1 Трафик'!$B$2:$B$91,V$12)</f>
        <v/>
      </c>
      <c r="W15" s="4">
        <f>SUMIFS('9.1 Трафик'!$D$2:$D$91,'9.1 Трафик'!$A$2:$A$91,$A15,'9.1 Трафик'!$B$2:$B$91,W$12)</f>
        <v/>
      </c>
      <c r="X15" s="4">
        <f>SUMIFS('9.1 Трафик'!$D$2:$D$91,'9.1 Трафик'!$A$2:$A$91,$A15,'9.1 Трафик'!$B$2:$B$91,X$12)</f>
        <v/>
      </c>
      <c r="Y15" s="4">
        <f>SUMIFS('9.1 Трафик'!$D$2:$D$91,'9.1 Трафик'!$A$2:$A$91,$A15,'9.1 Трафик'!$B$2:$B$91,Y$12)</f>
        <v/>
      </c>
      <c r="Z15" s="4">
        <f>SUMIFS('9.1 Трафик'!$D$2:$D$91,'9.1 Трафик'!$A$2:$A$91,$A15,'9.1 Трафик'!$B$2:$B$91,Z$12)</f>
        <v/>
      </c>
      <c r="AA15" s="4">
        <f>SUMIFS('9.1 Трафик'!$D$2:$D$91,'9.1 Трафик'!$A$2:$A$91,$A15,'9.1 Трафик'!$B$2:$B$91,AA$12)</f>
        <v/>
      </c>
      <c r="AB15" s="4">
        <f>SUMIFS('9.1 Трафик'!$D$2:$D$91,'9.1 Трафик'!$A$2:$A$91,$A15,'9.1 Трафик'!$B$2:$B$91,AB$12)</f>
        <v/>
      </c>
      <c r="AC15" s="4">
        <f>SUMIFS('9.1 Трафик'!$D$2:$D$91,'9.1 Трафик'!$A$2:$A$91,$A15,'9.1 Трафик'!$B$2:$B$91,AC$12)</f>
        <v/>
      </c>
      <c r="AD15" s="4">
        <f>SUMIFS('9.1 Трафик'!$D$2:$D$91,'9.1 Трафик'!$A$2:$A$91,$A15,'9.1 Трафик'!$B$2:$B$91,AD$12)</f>
        <v/>
      </c>
      <c r="AE15" s="4">
        <f>SUMIFS('9.1 Трафик'!$D$2:$D$91,'9.1 Трафик'!$A$2:$A$91,$A15,'9.1 Трафик'!$B$2:$B$91,AE$12)</f>
        <v/>
      </c>
      <c r="AF15" s="4">
        <f>SUM(B15:AE15)</f>
        <v/>
      </c>
    </row>
    <row r="16">
      <c r="A16" s="44" t="inlineStr">
        <is>
          <t>Общий итог</t>
        </is>
      </c>
      <c r="B16" s="44">
        <f>SUM(B13:B15)</f>
        <v/>
      </c>
      <c r="C16" s="44">
        <f>SUM(C13:C15)</f>
        <v/>
      </c>
      <c r="D16" s="44">
        <f>SUM(D13:D15)</f>
        <v/>
      </c>
      <c r="E16" s="44">
        <f>SUM(E13:E15)</f>
        <v/>
      </c>
      <c r="F16" s="44">
        <f>SUM(F13:F15)</f>
        <v/>
      </c>
      <c r="G16" s="44">
        <f>SUM(G13:G15)</f>
        <v/>
      </c>
      <c r="H16" s="44">
        <f>SUM(H13:H15)</f>
        <v/>
      </c>
      <c r="I16" s="44">
        <f>SUM(I13:I15)</f>
        <v/>
      </c>
      <c r="J16" s="44">
        <f>SUM(J13:J15)</f>
        <v/>
      </c>
      <c r="K16" s="44">
        <f>SUM(K13:K15)</f>
        <v/>
      </c>
      <c r="L16" s="44">
        <f>SUM(L13:L15)</f>
        <v/>
      </c>
      <c r="M16" s="44">
        <f>SUM(M13:M15)</f>
        <v/>
      </c>
      <c r="N16" s="44">
        <f>SUM(N13:N15)</f>
        <v/>
      </c>
      <c r="O16" s="44">
        <f>SUM(O13:O15)</f>
        <v/>
      </c>
      <c r="P16" s="44">
        <f>SUM(P13:P15)</f>
        <v/>
      </c>
      <c r="Q16" s="44">
        <f>SUM(Q13:Q15)</f>
        <v/>
      </c>
      <c r="R16" s="44">
        <f>SUM(R13:R15)</f>
        <v/>
      </c>
      <c r="S16" s="44">
        <f>SUM(S13:S15)</f>
        <v/>
      </c>
      <c r="T16" s="44">
        <f>SUM(T13:T15)</f>
        <v/>
      </c>
      <c r="U16" s="44">
        <f>SUM(U13:U15)</f>
        <v/>
      </c>
      <c r="V16" s="44">
        <f>SUM(V13:V15)</f>
        <v/>
      </c>
      <c r="W16" s="44">
        <f>SUM(W13:W15)</f>
        <v/>
      </c>
      <c r="X16" s="44">
        <f>SUM(X13:X15)</f>
        <v/>
      </c>
      <c r="Y16" s="44">
        <f>SUM(Y13:Y15)</f>
        <v/>
      </c>
      <c r="Z16" s="44">
        <f>SUM(Z13:Z15)</f>
        <v/>
      </c>
      <c r="AA16" s="44">
        <f>SUM(AA13:AA15)</f>
        <v/>
      </c>
      <c r="AB16" s="44">
        <f>SUM(AB13:AB15)</f>
        <v/>
      </c>
      <c r="AC16" s="44">
        <f>SUM(AC13:AC15)</f>
        <v/>
      </c>
      <c r="AD16" s="44">
        <f>SUM(AD13:AD15)</f>
        <v/>
      </c>
      <c r="AE16" s="44">
        <f>SUM(AE13:AE15)</f>
        <v/>
      </c>
      <c r="AF16" s="44">
        <f>SUM(AF13:AF15)</f>
        <v/>
      </c>
    </row>
    <row r="19" ht="32" customHeight="1">
      <c r="A19" s="46" t="inlineStr">
        <is>
          <t>Количество потраченных рублей в месяц</t>
        </is>
      </c>
      <c r="B19" s="47">
        <f>AF8*'9.1 Тарифы'!A2+AF16*'9.1 Тарифы'!B2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2026-10-18T17:26:15Z</dcterms:created>
  <dcterms:modified xmlns:dcterms="http://purl.org/dc/terms/" xmlns:xsi="http://www.w3.org/2001/XMLSchema-instance" xsi:type="dcterms:W3CDTF">2026-10-18T17:26:15Z</dcterms:modified>
</cp:coreProperties>
</file>